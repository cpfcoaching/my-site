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ntrol Matrix" sheetId="3" state="visible" r:id="rId3"/>
    <sheet xmlns:r="http://schemas.openxmlformats.org/officeDocument/2006/relationships" name="Implementation Plan" sheetId="4" state="visible" r:id="rId4"/>
    <sheet xmlns:r="http://schemas.openxmlformats.org/officeDocument/2006/relationships" name="Evidence Index" sheetId="5" state="visible" r:id="rId5"/>
    <sheet xmlns:r="http://schemas.openxmlformats.org/officeDocument/2006/relationships" name="Exceptions" sheetId="6" state="visible" r:id="rId6"/>
    <sheet xmlns:r="http://schemas.openxmlformats.org/officeDocument/2006/relationships" name="Evidence Calendar" sheetId="7" state="visible" r:id="rId7"/>
  </sheets>
  <definedNames>
    <definedName name="_xlnm._FilterDatabase" localSheetId="2" hidden="1">'Control Matrix'!$A$4:$P$65</definedName>
    <definedName name="_xlnm._FilterDatabase" localSheetId="3" hidden="1">'Implementation Plan'!$A$4:$K$65</definedName>
    <definedName name="_xlnm._FilterDatabase" localSheetId="4" hidden="1">'Evidence Index'!$A$4:$N$104</definedName>
    <definedName name="_xlnm._FilterDatabase" localSheetId="5" hidden="1">'Exceptions'!$A$4:$N$79</definedName>
    <definedName name="_xlnm._FilterDatabase" localSheetId="6" hidden="1">'Evidence Calendar'!$A$4:$M$65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5B6573"/>
      <sz val="10"/>
    </font>
    <font>
      <name val="Arial"/>
      <b val="1"/>
      <color rgb="00FFFFFF"/>
    </font>
    <font>
      <name val="Arial"/>
      <sz val="10"/>
    </font>
    <font>
      <name val="Arial"/>
      <color rgb="000000FF"/>
    </font>
    <font>
      <name val="Arial"/>
      <color rgb="000000FF"/>
      <sz val="10"/>
    </font>
    <font>
      <name val="Arial"/>
      <b val="1"/>
      <color rgb="00008F83"/>
      <sz val="14"/>
    </font>
  </fonts>
  <fills count="4">
    <fill>
      <patternFill/>
    </fill>
    <fill>
      <patternFill patternType="gray125"/>
    </fill>
    <fill>
      <patternFill patternType="solid">
        <fgColor rgb="0016324A"/>
      </patternFill>
    </fill>
    <fill>
      <patternFill patternType="solid">
        <fgColor rgb="00008F83"/>
      </patternFill>
    </fill>
  </fills>
  <borders count="2">
    <border>
      <left/>
      <right/>
      <top/>
      <bottom/>
      <diagonal/>
    </border>
    <border>
      <bottom style="thin">
        <color rgb="00B8C4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7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selection activeCell="A1" sqref="A1"/>
    </sheetView>
  </sheetViews>
  <sheetFormatPr baseColWidth="8" defaultRowHeight="15"/>
  <cols>
    <col width="115" customWidth="1" min="1" max="1"/>
  </cols>
  <sheetData>
    <row r="1" ht="30" customHeight="1">
      <c r="A1" s="1" t="inlineStr">
        <is>
          <t>Workbook Instructions</t>
        </is>
      </c>
    </row>
    <row r="2" ht="30" customHeight="1">
      <c r="A2" s="2" t="inlineStr">
        <is>
          <t>Follow these rules before changing an assessment answer to Verified evidence.</t>
        </is>
      </c>
    </row>
    <row r="4">
      <c r="A4" s="3" t="inlineStr">
        <is>
          <t>Required operating rules</t>
        </is>
      </c>
    </row>
    <row r="5" ht="30" customHeight="1">
      <c r="A5" s="4" t="inlineStr">
        <is>
          <t>1. Management owns the control, risk decisions, system description, and assertion.</t>
        </is>
      </c>
    </row>
    <row r="6" ht="30" customHeight="1">
      <c r="A6" s="4" t="inlineStr">
        <is>
          <t>2. Do not backdate, manufacture, or silently replace evidence.</t>
        </is>
      </c>
    </row>
    <row r="7" ht="30" customHeight="1">
      <c r="A7" s="4" t="inlineStr">
        <is>
          <t>3. Use system exports, approved records, logs, tickets, and signed reviews as primary evidence.</t>
        </is>
      </c>
    </row>
    <row r="8" ht="30" customHeight="1">
      <c r="A8" s="4" t="inlineStr">
        <is>
          <t>4. Record source, filters, time zone, date range, fields, extraction date, and reconciliation method for populations.</t>
        </is>
      </c>
    </row>
    <row r="9" ht="30" customHeight="1">
      <c r="A9" s="4" t="inlineStr">
        <is>
          <t>5. Retain all required occurrences across the observation period and preserve exceptions.</t>
        </is>
      </c>
    </row>
    <row r="10" ht="30" customHeight="1">
      <c r="A10" s="4" t="inlineStr">
        <is>
          <t>6. Verified evidence means ready for auditor review. It is not an audit conclusion.</t>
        </is>
      </c>
    </row>
    <row r="11" ht="30" customHeight="1">
      <c r="A11" s="4" t="inlineStr">
        <is>
          <t>7. Use the DOCX implementation guide for domain-specific procedures, evidence expectations, and exit criteria.</t>
        </is>
      </c>
    </row>
    <row r="14">
      <c r="A14" s="3" t="inlineStr">
        <is>
          <t>Workbook flow</t>
        </is>
      </c>
    </row>
    <row r="15">
      <c r="A15" t="inlineStr">
        <is>
          <t>Control Matrix -&gt; Implementation Plan -&gt; Evidence Calendar -&gt; Evidence Index -&gt; Exceptions -&gt; Dashboard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  <headerFooter>
    <oddHeader/>
    <oddFooter>&amp;CCPF Coaching | SOC 2 Type II readiness | Planning use only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" t="inlineStr">
        <is>
          <t>SOC 2 Type II Readiness Workbook</t>
        </is>
      </c>
    </row>
    <row r="2" ht="30" customHeight="1">
      <c r="A2" s="2" t="inlineStr">
        <is>
          <t>Consultant backend for implementation, evidence, exceptions, and operating cadence. Planning use only.</t>
        </is>
      </c>
    </row>
    <row r="4">
      <c r="A4" t="inlineStr">
        <is>
          <t>Organization</t>
        </is>
      </c>
      <c r="B4" s="5" t="inlineStr"/>
    </row>
    <row r="5">
      <c r="A5" t="inlineStr">
        <is>
          <t>Assessment owner</t>
        </is>
      </c>
      <c r="B5" s="5" t="inlineStr"/>
    </row>
    <row r="6">
      <c r="A6" t="inlineStr">
        <is>
          <t>Target audit start</t>
        </is>
      </c>
      <c r="B6" s="5" t="inlineStr"/>
    </row>
    <row r="7">
      <c r="A7" t="inlineStr">
        <is>
          <t>Observation period (months)</t>
        </is>
      </c>
      <c r="B7" s="5" t="inlineStr"/>
    </row>
    <row r="9">
      <c r="A9" s="6" t="inlineStr">
        <is>
          <t>Metric</t>
        </is>
      </c>
      <c r="B9" s="6" t="inlineStr">
        <is>
          <t>Result</t>
        </is>
      </c>
      <c r="C9" s="6" t="n"/>
      <c r="D9" s="6" t="n"/>
      <c r="E9" s="6" t="n"/>
      <c r="F9" s="6" t="n"/>
      <c r="G9" s="6" t="n"/>
      <c r="H9" s="6" t="n"/>
    </row>
    <row r="10">
      <c r="A10" s="7" t="inlineStr">
        <is>
          <t>Applicable controls</t>
        </is>
      </c>
      <c r="B10" s="7">
        <f>COUNTIF('Control Matrix'!F5:F65,"&lt;&gt;Not applicable")</f>
        <v/>
      </c>
      <c r="C10" s="7" t="n"/>
      <c r="D10" s="7" t="n"/>
      <c r="E10" s="7" t="n"/>
      <c r="F10" s="7" t="n"/>
      <c r="G10" s="7" t="n"/>
      <c r="H10" s="7" t="n"/>
    </row>
    <row r="11">
      <c r="A11" s="7" t="inlineStr">
        <is>
          <t>Verified evidence</t>
        </is>
      </c>
      <c r="B11" s="7">
        <f>COUNTIF('Control Matrix'!F5:F65,"Verified evidence")</f>
        <v/>
      </c>
      <c r="C11" s="7" t="n"/>
      <c r="D11" s="7" t="n"/>
      <c r="E11" s="7" t="n"/>
      <c r="F11" s="7" t="n"/>
      <c r="G11" s="7" t="n"/>
      <c r="H11" s="7" t="n"/>
    </row>
    <row r="12">
      <c r="A12" s="7" t="inlineStr">
        <is>
          <t>Critical controls below Implemented</t>
        </is>
      </c>
      <c r="B12" s="7">
        <f>COUNTIFS('Control Matrix'!E5:E65,"Yes",'Control Matrix'!F5:F65,"Missing or unknown")+COUNTIFS('Control Matrix'!E5:E65,"Yes",'Control Matrix'!F5:F65,"Planned")</f>
        <v/>
      </c>
      <c r="C12" s="7" t="n"/>
      <c r="D12" s="7" t="n"/>
      <c r="E12" s="7" t="n"/>
      <c r="F12" s="7" t="n"/>
      <c r="G12" s="7" t="n"/>
      <c r="H12" s="7" t="n"/>
    </row>
    <row r="13">
      <c r="A13" s="7" t="inlineStr">
        <is>
          <t>Readiness score</t>
        </is>
      </c>
      <c r="B13" s="8">
        <f>IFERROR(SUM('Control Matrix'!P5:P65)/(3*B10),0)</f>
        <v/>
      </c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 ht="48" customHeight="1">
      <c r="A15" s="7" t="inlineStr">
        <is>
          <t>Use rule</t>
        </is>
      </c>
      <c r="B15" s="9" t="inlineStr">
        <is>
          <t>Do not mark Verified evidence until the control has operated, the population is reproducible, evidence passes review, exceptions remain visible, and management signs off.</t>
        </is>
      </c>
      <c r="C15" s="7" t="n"/>
      <c r="D15" s="7" t="n"/>
      <c r="E15" s="7" t="n"/>
      <c r="F15" s="7" t="n"/>
      <c r="G15" s="7" t="n"/>
      <c r="H15" s="7" t="n"/>
    </row>
  </sheetData>
  <mergeCells count="2">
    <mergeCell ref="A2:H2"/>
    <mergeCell ref="A1:H1"/>
  </mergeCells>
  <pageMargins left="0.75" right="0.75" top="1" bottom="1" header="0.5" footer="0.5"/>
  <pageSetup fitToHeight="0" fitToWidth="1"/>
  <headerFooter>
    <oddHeader/>
    <oddFooter>&amp;CCPF Coaching | SOC 2 Type II readiness | Planning use only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54" customWidth="1" min="4" max="4"/>
    <col width="12" customWidth="1" min="5" max="5"/>
    <col width="20" customWidth="1" min="6" max="6"/>
    <col width="22" customWidth="1" min="7" max="7"/>
    <col width="20" customWidth="1" min="8" max="8"/>
    <col width="18" customWidth="1" min="9" max="9"/>
    <col width="15" customWidth="1" min="10" max="10"/>
    <col width="25" customWidth="1" min="11" max="11"/>
    <col width="30" customWidth="1" min="12" max="12"/>
    <col width="15" customWidth="1" min="13" max="13"/>
    <col width="15" customWidth="1" min="14" max="14"/>
    <col width="42" customWidth="1" min="15" max="15"/>
    <col width="15" customWidth="1" min="16" max="16"/>
  </cols>
  <sheetData>
    <row r="1" ht="30" customHeight="1">
      <c r="A1" s="1" t="inlineStr">
        <is>
          <t>Control Matrix</t>
        </is>
      </c>
    </row>
    <row r="2" ht="30" customHeight="1">
      <c r="A2" s="2" t="inlineStr">
        <is>
          <t>Update blue input fields. Formula scores recalculate from Status.</t>
        </is>
      </c>
    </row>
    <row r="4">
      <c r="A4" s="6" t="inlineStr">
        <is>
          <t>Control ID</t>
        </is>
      </c>
      <c r="B4" s="6" t="inlineStr">
        <is>
          <t>Domain</t>
        </is>
      </c>
      <c r="C4" s="6" t="inlineStr">
        <is>
          <t>Criteria</t>
        </is>
      </c>
      <c r="D4" s="6" t="inlineStr">
        <is>
          <t>Control expectation</t>
        </is>
      </c>
      <c r="E4" s="6" t="inlineStr">
        <is>
          <t>Critical</t>
        </is>
      </c>
      <c r="F4" s="6" t="inlineStr">
        <is>
          <t>Status</t>
        </is>
      </c>
      <c r="G4" s="6" t="inlineStr">
        <is>
          <t>Management owner</t>
        </is>
      </c>
      <c r="H4" s="6" t="inlineStr">
        <is>
          <t>Operator</t>
        </is>
      </c>
      <c r="I4" s="6" t="inlineStr">
        <is>
          <t>Frequency</t>
        </is>
      </c>
      <c r="J4" s="6" t="inlineStr">
        <is>
          <t>Effective date</t>
        </is>
      </c>
      <c r="K4" s="6" t="inlineStr">
        <is>
          <t>Evidence source</t>
        </is>
      </c>
      <c r="L4" s="6" t="inlineStr">
        <is>
          <t>Evidence location</t>
        </is>
      </c>
      <c r="M4" s="6" t="inlineStr">
        <is>
          <t>Last review</t>
        </is>
      </c>
      <c r="N4" s="6" t="inlineStr">
        <is>
          <t>Next due</t>
        </is>
      </c>
      <c r="O4" s="6" t="inlineStr">
        <is>
          <t>Gap or exception</t>
        </is>
      </c>
      <c r="P4" s="6" t="inlineStr">
        <is>
          <t>Readiness score</t>
        </is>
      </c>
    </row>
    <row r="5">
      <c r="A5" s="7" t="inlineStr">
        <is>
          <t>SCP-01</t>
        </is>
      </c>
      <c r="B5" s="7" t="inlineStr">
        <is>
          <t>Scope and system description</t>
        </is>
      </c>
      <c r="C5" s="7" t="inlineStr">
        <is>
          <t>Foundational</t>
        </is>
      </c>
      <c r="D5" s="7" t="inlineStr">
        <is>
          <t>Services, infrastructure, locations, data, people, software, and procedures in scope are documented.</t>
        </is>
      </c>
      <c r="E5" s="10" t="inlineStr">
        <is>
          <t>Yes</t>
        </is>
      </c>
      <c r="F5" s="10" t="inlineStr">
        <is>
          <t>Missing or unknown</t>
        </is>
      </c>
      <c r="G5" s="10" t="inlineStr"/>
      <c r="H5" s="10" t="inlineStr"/>
      <c r="I5" s="10" t="inlineStr"/>
      <c r="J5" s="10" t="inlineStr"/>
      <c r="K5" s="10" t="inlineStr"/>
      <c r="L5" s="10" t="inlineStr"/>
      <c r="M5" s="10" t="inlineStr"/>
      <c r="N5" s="10" t="inlineStr"/>
      <c r="O5" s="10" t="inlineStr">
        <is>
          <t>Approve the system boundary and system description.</t>
        </is>
      </c>
      <c r="P5" s="7">
        <f>IF(F5="Verified evidence",3,IF(F5="Implemented",2,IF(F5="Planned",1,0)))</f>
        <v/>
      </c>
    </row>
    <row r="6">
      <c r="A6" s="7" t="inlineStr">
        <is>
          <t>SCP-02</t>
        </is>
      </c>
      <c r="B6" s="7" t="inlineStr">
        <is>
          <t>Scope and system description</t>
        </is>
      </c>
      <c r="C6" s="7" t="inlineStr">
        <is>
          <t>Foundational</t>
        </is>
      </c>
      <c r="D6" s="7" t="inlineStr">
        <is>
          <t>Customer commitments and system requirements map to selected categories.</t>
        </is>
      </c>
      <c r="E6" s="10" t="inlineStr">
        <is>
          <t>Yes</t>
        </is>
      </c>
      <c r="F6" s="10" t="inlineStr">
        <is>
          <t>Missing or unknown</t>
        </is>
      </c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>
        <is>
          <t>Map customer commitments to the selected criteria.</t>
        </is>
      </c>
      <c r="P6" s="7">
        <f>IF(F6="Verified evidence",3,IF(F6="Implemented",2,IF(F6="Planned",1,0)))</f>
        <v/>
      </c>
    </row>
    <row r="7">
      <c r="A7" s="7" t="inlineStr">
        <is>
          <t>SCP-03</t>
        </is>
      </c>
      <c r="B7" s="7" t="inlineStr">
        <is>
          <t>Scope and system description</t>
        </is>
      </c>
      <c r="C7" s="7" t="inlineStr">
        <is>
          <t>Foundational</t>
        </is>
      </c>
      <c r="D7" s="7" t="inlineStr">
        <is>
          <t>Subservice organizations and carve-out or inclusive treatment are documented.</t>
        </is>
      </c>
      <c r="E7" s="10" t="inlineStr">
        <is>
          <t>No</t>
        </is>
      </c>
      <c r="F7" s="10" t="inlineStr">
        <is>
          <t>Missing or unknown</t>
        </is>
      </c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>
        <is>
          <t>Document subservice organizations and their treatment.</t>
        </is>
      </c>
      <c r="P7" s="7">
        <f>IF(F7="Verified evidence",3,IF(F7="Implemented",2,IF(F7="Planned",1,0)))</f>
        <v/>
      </c>
    </row>
    <row r="8">
      <c r="A8" s="7" t="inlineStr">
        <is>
          <t>SCP-04</t>
        </is>
      </c>
      <c r="B8" s="7" t="inlineStr">
        <is>
          <t>Scope and system description</t>
        </is>
      </c>
      <c r="C8" s="7" t="inlineStr">
        <is>
          <t>Foundational</t>
        </is>
      </c>
      <c r="D8" s="7" t="inlineStr">
        <is>
          <t>Management can support an accurate system description for the full period.</t>
        </is>
      </c>
      <c r="E8" s="10" t="inlineStr">
        <is>
          <t>Yes</t>
        </is>
      </c>
      <c r="F8" s="10" t="inlineStr">
        <is>
          <t>Missing or unknown</t>
        </is>
      </c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>
        <is>
          <t>Draft and validate the system description.</t>
        </is>
      </c>
      <c r="P8" s="7">
        <f>IF(F8="Verified evidence",3,IF(F8="Implemented",2,IF(F8="Planned",1,0)))</f>
        <v/>
      </c>
    </row>
    <row r="9">
      <c r="A9" s="7" t="inlineStr">
        <is>
          <t>GOV-01</t>
        </is>
      </c>
      <c r="B9" s="7" t="inlineStr">
        <is>
          <t>Governance and risk management</t>
        </is>
      </c>
      <c r="C9" s="7" t="inlineStr">
        <is>
          <t>CC1, CC2, CC3, CC4, CC5, CC9</t>
        </is>
      </c>
      <c r="D9" s="7" t="inlineStr">
        <is>
          <t>Leadership assigns security accountability and reviews control performance.</t>
        </is>
      </c>
      <c r="E9" s="10" t="inlineStr">
        <is>
          <t>Yes</t>
        </is>
      </c>
      <c r="F9" s="10" t="inlineStr">
        <is>
          <t>Missing or unknown</t>
        </is>
      </c>
      <c r="G9" s="10" t="inlineStr"/>
      <c r="H9" s="10" t="inlineStr"/>
      <c r="I9" s="10" t="inlineStr"/>
      <c r="J9" s="10" t="inlineStr"/>
      <c r="K9" s="10" t="inlineStr"/>
      <c r="L9" s="10" t="inlineStr"/>
      <c r="M9" s="10" t="inlineStr"/>
      <c r="N9" s="10" t="inlineStr"/>
      <c r="O9" s="10" t="inlineStr">
        <is>
          <t>Assign control owners and a recurring oversight review.</t>
        </is>
      </c>
      <c r="P9" s="7">
        <f>IF(F9="Verified evidence",3,IF(F9="Implemented",2,IF(F9="Planned",1,0)))</f>
        <v/>
      </c>
    </row>
    <row r="10">
      <c r="A10" s="7" t="inlineStr">
        <is>
          <t>GOV-02</t>
        </is>
      </c>
      <c r="B10" s="7" t="inlineStr">
        <is>
          <t>Governance and risk management</t>
        </is>
      </c>
      <c r="C10" s="7" t="inlineStr">
        <is>
          <t>CC3</t>
        </is>
      </c>
      <c r="D10" s="7" t="inlineStr">
        <is>
          <t>A current risk assessment links risks to controls and treatment decisions.</t>
        </is>
      </c>
      <c r="E10" s="10" t="inlineStr">
        <is>
          <t>Yes</t>
        </is>
      </c>
      <c r="F10" s="10" t="inlineStr">
        <is>
          <t>Missing or unknown</t>
        </is>
      </c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>
        <is>
          <t>Complete and approve a risk assessment and treatment plan.</t>
        </is>
      </c>
      <c r="P10" s="7">
        <f>IF(F10="Verified evidence",3,IF(F10="Implemented",2,IF(F10="Planned",1,0)))</f>
        <v/>
      </c>
    </row>
    <row r="11">
      <c r="A11" s="7" t="inlineStr">
        <is>
          <t>GOV-03</t>
        </is>
      </c>
      <c r="B11" s="7" t="inlineStr">
        <is>
          <t>Governance and risk management</t>
        </is>
      </c>
      <c r="C11" s="7" t="inlineStr">
        <is>
          <t>CC1, CC2</t>
        </is>
      </c>
      <c r="D11" s="7" t="inlineStr">
        <is>
          <t>Policies are approved, reviewed, communicated, and acknowledged.</t>
        </is>
      </c>
      <c r="E11" s="10" t="inlineStr">
        <is>
          <t>No</t>
        </is>
      </c>
      <c r="F11" s="10" t="inlineStr">
        <is>
          <t>Missing or unknown</t>
        </is>
      </c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>
        <is>
          <t>Set policy owners, approval dates, and acknowledgement evidence.</t>
        </is>
      </c>
      <c r="P11" s="7">
        <f>IF(F11="Verified evidence",3,IF(F11="Implemented",2,IF(F11="Planned",1,0)))</f>
        <v/>
      </c>
    </row>
    <row r="12">
      <c r="A12" s="7" t="inlineStr">
        <is>
          <t>GOV-04</t>
        </is>
      </c>
      <c r="B12" s="7" t="inlineStr">
        <is>
          <t>Governance and risk management</t>
        </is>
      </c>
      <c r="C12" s="7" t="inlineStr">
        <is>
          <t>CC4, CC5</t>
        </is>
      </c>
      <c r="D12" s="7" t="inlineStr">
        <is>
          <t>Control failures and exceptions are found, tracked, corrected, and reported.</t>
        </is>
      </c>
      <c r="E12" s="10" t="inlineStr">
        <is>
          <t>Yes</t>
        </is>
      </c>
      <c r="F12" s="10" t="inlineStr">
        <is>
          <t>Missing or unknown</t>
        </is>
      </c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>
        <is>
          <t>Create a control exception and remediation process.</t>
        </is>
      </c>
      <c r="P12" s="7">
        <f>IF(F12="Verified evidence",3,IF(F12="Implemented",2,IF(F12="Planned",1,0)))</f>
        <v/>
      </c>
    </row>
    <row r="13">
      <c r="A13" s="7" t="inlineStr">
        <is>
          <t>ACC-01</t>
        </is>
      </c>
      <c r="B13" s="7" t="inlineStr">
        <is>
          <t>Logical and physical access</t>
        </is>
      </c>
      <c r="C13" s="7" t="inlineStr">
        <is>
          <t>CC6</t>
        </is>
      </c>
      <c r="D13" s="7" t="inlineStr">
        <is>
          <t>Identity lifecycle procedures cover approval, provisioning, changes, termination, and review.</t>
        </is>
      </c>
      <c r="E13" s="10" t="inlineStr">
        <is>
          <t>Yes</t>
        </is>
      </c>
      <c r="F13" s="10" t="inlineStr">
        <is>
          <t>Missing or unknown</t>
        </is>
      </c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  <c r="O13" s="10" t="inlineStr">
        <is>
          <t>Implement a traceable joiner, mover, and leaver process.</t>
        </is>
      </c>
      <c r="P13" s="7">
        <f>IF(F13="Verified evidence",3,IF(F13="Implemented",2,IF(F13="Planned",1,0)))</f>
        <v/>
      </c>
    </row>
    <row r="14">
      <c r="A14" s="7" t="inlineStr">
        <is>
          <t>ACC-02</t>
        </is>
      </c>
      <c r="B14" s="7" t="inlineStr">
        <is>
          <t>Logical and physical access</t>
        </is>
      </c>
      <c r="C14" s="7" t="inlineStr">
        <is>
          <t>CC6</t>
        </is>
      </c>
      <c r="D14" s="7" t="inlineStr">
        <is>
          <t>Multi-factor authentication protects workforce, privileged, cloud, and remote access.</t>
        </is>
      </c>
      <c r="E14" s="10" t="inlineStr">
        <is>
          <t>Yes</t>
        </is>
      </c>
      <c r="F14" s="10" t="inlineStr">
        <is>
          <t>Missing or unknown</t>
        </is>
      </c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>
        <is>
          <t>Close MFA coverage gaps and document exceptions.</t>
        </is>
      </c>
      <c r="P14" s="7">
        <f>IF(F14="Verified evidence",3,IF(F14="Implemented",2,IF(F14="Planned",1,0)))</f>
        <v/>
      </c>
    </row>
    <row r="15">
      <c r="A15" s="7" t="inlineStr">
        <is>
          <t>ACC-03</t>
        </is>
      </c>
      <c r="B15" s="7" t="inlineStr">
        <is>
          <t>Logical and physical access</t>
        </is>
      </c>
      <c r="C15" s="7" t="inlineStr">
        <is>
          <t>CC6</t>
        </is>
      </c>
      <c r="D15" s="7" t="inlineStr">
        <is>
          <t>Privileged access is limited, separately controlled, logged, and reviewed.</t>
        </is>
      </c>
      <c r="E15" s="10" t="inlineStr">
        <is>
          <t>Yes</t>
        </is>
      </c>
      <c r="F15" s="10" t="inlineStr">
        <is>
          <t>Missing or unknown</t>
        </is>
      </c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inlineStr">
        <is>
          <t>Inventory and review all privileged access.</t>
        </is>
      </c>
      <c r="P15" s="7">
        <f>IF(F15="Verified evidence",3,IF(F15="Implemented",2,IF(F15="Planned",1,0)))</f>
        <v/>
      </c>
    </row>
    <row r="16">
      <c r="A16" s="7" t="inlineStr">
        <is>
          <t>ACC-04</t>
        </is>
      </c>
      <c r="B16" s="7" t="inlineStr">
        <is>
          <t>Logical and physical access</t>
        </is>
      </c>
      <c r="C16" s="7" t="inlineStr">
        <is>
          <t>CC6</t>
        </is>
      </c>
      <c r="D16" s="7" t="inlineStr">
        <is>
          <t>Access reviews show reviewer decisions and completed removals.</t>
        </is>
      </c>
      <c r="E16" s="10" t="inlineStr">
        <is>
          <t>Yes</t>
        </is>
      </c>
      <c r="F16" s="10" t="inlineStr">
        <is>
          <t>Missing or unknown</t>
        </is>
      </c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>
        <is>
          <t>Run an access review and retain removal proof.</t>
        </is>
      </c>
      <c r="P16" s="7">
        <f>IF(F16="Verified evidence",3,IF(F16="Implemented",2,IF(F16="Planned",1,0)))</f>
        <v/>
      </c>
    </row>
    <row r="17">
      <c r="A17" s="7" t="inlineStr">
        <is>
          <t>CHG-01</t>
        </is>
      </c>
      <c r="B17" s="7" t="inlineStr">
        <is>
          <t>Change management and development</t>
        </is>
      </c>
      <c r="C17" s="7" t="inlineStr">
        <is>
          <t>CC8</t>
        </is>
      </c>
      <c r="D17" s="7" t="inlineStr">
        <is>
          <t>Production changes require requests, review, testing, approval, and deployment evidence.</t>
        </is>
      </c>
      <c r="E17" s="10" t="inlineStr">
        <is>
          <t>Yes</t>
        </is>
      </c>
      <c r="F17" s="10" t="inlineStr">
        <is>
          <t>Missing or unknown</t>
        </is>
      </c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  <c r="O17" s="10" t="inlineStr">
        <is>
          <t>Enforce review and approval for production changes.</t>
        </is>
      </c>
      <c r="P17" s="7">
        <f>IF(F17="Verified evidence",3,IF(F17="Implemented",2,IF(F17="Planned",1,0)))</f>
        <v/>
      </c>
    </row>
    <row r="18">
      <c r="A18" s="7" t="inlineStr">
        <is>
          <t>CHG-02</t>
        </is>
      </c>
      <c r="B18" s="7" t="inlineStr">
        <is>
          <t>Change management and development</t>
        </is>
      </c>
      <c r="C18" s="7" t="inlineStr">
        <is>
          <t>CC8</t>
        </is>
      </c>
      <c r="D18" s="7" t="inlineStr">
        <is>
          <t>Development, approval, and production access are separated or compensated.</t>
        </is>
      </c>
      <c r="E18" s="10" t="inlineStr">
        <is>
          <t>No</t>
        </is>
      </c>
      <c r="F18" s="10" t="inlineStr">
        <is>
          <t>Missing or unknown</t>
        </is>
      </c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>
        <is>
          <t>Define separation of duties or a compensating review.</t>
        </is>
      </c>
      <c r="P18" s="7">
        <f>IF(F18="Verified evidence",3,IF(F18="Implemented",2,IF(F18="Planned",1,0)))</f>
        <v/>
      </c>
    </row>
    <row r="19">
      <c r="A19" s="7" t="inlineStr">
        <is>
          <t>CHG-03</t>
        </is>
      </c>
      <c r="B19" s="7" t="inlineStr">
        <is>
          <t>Change management and development</t>
        </is>
      </c>
      <c r="C19" s="7" t="inlineStr">
        <is>
          <t>CC8</t>
        </is>
      </c>
      <c r="D19" s="7" t="inlineStr">
        <is>
          <t>Security requirements, code review, dependency checks, and secret handling are repeatable.</t>
        </is>
      </c>
      <c r="E19" s="10" t="inlineStr">
        <is>
          <t>No</t>
        </is>
      </c>
      <c r="F19" s="10" t="inlineStr">
        <is>
          <t>Missing or unknown</t>
        </is>
      </c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  <c r="O19" s="10" t="inlineStr">
        <is>
          <t>Add repeatable security checks to delivery.</t>
        </is>
      </c>
      <c r="P19" s="7">
        <f>IF(F19="Verified evidence",3,IF(F19="Implemented",2,IF(F19="Planned",1,0)))</f>
        <v/>
      </c>
    </row>
    <row r="20">
      <c r="A20" s="7" t="inlineStr">
        <is>
          <t>CHG-04</t>
        </is>
      </c>
      <c r="B20" s="7" t="inlineStr">
        <is>
          <t>Change management and development</t>
        </is>
      </c>
      <c r="C20" s="7" t="inlineStr">
        <is>
          <t>CC8</t>
        </is>
      </c>
      <c r="D20" s="7" t="inlineStr">
        <is>
          <t>Emergency changes receive timely retrospective review.</t>
        </is>
      </c>
      <c r="E20" s="10" t="inlineStr">
        <is>
          <t>No</t>
        </is>
      </c>
      <c r="F20" s="10" t="inlineStr">
        <is>
          <t>Missing or unknown</t>
        </is>
      </c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  <c r="O20" s="10" t="inlineStr">
        <is>
          <t>Create and test an emergency change path.</t>
        </is>
      </c>
      <c r="P20" s="7">
        <f>IF(F20="Verified evidence",3,IF(F20="Implemented",2,IF(F20="Planned",1,0)))</f>
        <v/>
      </c>
    </row>
    <row r="21">
      <c r="A21" s="7" t="inlineStr">
        <is>
          <t>OPS-01</t>
        </is>
      </c>
      <c r="B21" s="7" t="inlineStr">
        <is>
          <t>Security operations</t>
        </is>
      </c>
      <c r="C21" s="7" t="inlineStr">
        <is>
          <t>CC7</t>
        </is>
      </c>
      <c r="D21" s="7" t="inlineStr">
        <is>
          <t>Assets, software, data stores, and owners are inventoried and kept current.</t>
        </is>
      </c>
      <c r="E21" s="10" t="inlineStr">
        <is>
          <t>No</t>
        </is>
      </c>
      <c r="F21" s="10" t="inlineStr">
        <is>
          <t>Missing or unknown</t>
        </is>
      </c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>
        <is>
          <t>Build an inventory with business and technical owners.</t>
        </is>
      </c>
      <c r="P21" s="7">
        <f>IF(F21="Verified evidence",3,IF(F21="Implemented",2,IF(F21="Planned",1,0)))</f>
        <v/>
      </c>
    </row>
    <row r="22">
      <c r="A22" s="7" t="inlineStr">
        <is>
          <t>OPS-02</t>
        </is>
      </c>
      <c r="B22" s="7" t="inlineStr">
        <is>
          <t>Security operations</t>
        </is>
      </c>
      <c r="C22" s="7" t="inlineStr">
        <is>
          <t>CC7</t>
        </is>
      </c>
      <c r="D22" s="7" t="inlineStr">
        <is>
          <t>Vulnerabilities are detected, ranked, assigned, remediated, and verified.</t>
        </is>
      </c>
      <c r="E22" s="10" t="inlineStr">
        <is>
          <t>Yes</t>
        </is>
      </c>
      <c r="F22" s="10" t="inlineStr">
        <is>
          <t>Missing or unknown</t>
        </is>
      </c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>
        <is>
          <t>Set remediation targets and retain closure evidence.</t>
        </is>
      </c>
      <c r="P22" s="7">
        <f>IF(F22="Verified evidence",3,IF(F22="Implemented",2,IF(F22="Planned",1,0)))</f>
        <v/>
      </c>
    </row>
    <row r="23">
      <c r="A23" s="7" t="inlineStr">
        <is>
          <t>OPS-03</t>
        </is>
      </c>
      <c r="B23" s="7" t="inlineStr">
        <is>
          <t>Security operations</t>
        </is>
      </c>
      <c r="C23" s="7" t="inlineStr">
        <is>
          <t>CC7</t>
        </is>
      </c>
      <c r="D23" s="7" t="inlineStr">
        <is>
          <t>Security logs and alerts cover material systems and receive documented response.</t>
        </is>
      </c>
      <c r="E23" s="10" t="inlineStr">
        <is>
          <t>Yes</t>
        </is>
      </c>
      <c r="F23" s="10" t="inlineStr">
        <is>
          <t>Missing or unknown</t>
        </is>
      </c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>
        <is>
          <t>Define logging coverage and demonstrate alert response.</t>
        </is>
      </c>
      <c r="P23" s="7">
        <f>IF(F23="Verified evidence",3,IF(F23="Implemented",2,IF(F23="Planned",1,0)))</f>
        <v/>
      </c>
    </row>
    <row r="24">
      <c r="A24" s="7" t="inlineStr">
        <is>
          <t>OPS-04</t>
        </is>
      </c>
      <c r="B24" s="7" t="inlineStr">
        <is>
          <t>Security operations</t>
        </is>
      </c>
      <c r="C24" s="7" t="inlineStr">
        <is>
          <t>CC7</t>
        </is>
      </c>
      <c r="D24" s="7" t="inlineStr">
        <is>
          <t>Endpoints and workloads use appropriate hardening, protection, and monitoring.</t>
        </is>
      </c>
      <c r="E24" s="10" t="inlineStr">
        <is>
          <t>No</t>
        </is>
      </c>
      <c r="F24" s="10" t="inlineStr">
        <is>
          <t>Missing or unknown</t>
        </is>
      </c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0" t="inlineStr"/>
      <c r="O24" s="10" t="inlineStr">
        <is>
          <t>Measure endpoint and workload protection coverage.</t>
        </is>
      </c>
      <c r="P24" s="7">
        <f>IF(F24="Verified evidence",3,IF(F24="Implemented",2,IF(F24="Planned",1,0)))</f>
        <v/>
      </c>
    </row>
    <row r="25">
      <c r="A25" s="7" t="inlineStr">
        <is>
          <t>IR-01</t>
        </is>
      </c>
      <c r="B25" s="7" t="inlineStr">
        <is>
          <t>Incident response and resilience</t>
        </is>
      </c>
      <c r="C25" s="7" t="inlineStr">
        <is>
          <t>CC7</t>
        </is>
      </c>
      <c r="D25" s="7" t="inlineStr">
        <is>
          <t>A current plan defines incident roles, severity, escalation, communication, and evidence handling.</t>
        </is>
      </c>
      <c r="E25" s="10" t="inlineStr">
        <is>
          <t>Yes</t>
        </is>
      </c>
      <c r="F25" s="10" t="inlineStr">
        <is>
          <t>Missing or unknown</t>
        </is>
      </c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  <c r="N25" s="10" t="inlineStr"/>
      <c r="O25" s="10" t="inlineStr">
        <is>
          <t>Approve an incident response plan and contact matrix.</t>
        </is>
      </c>
      <c r="P25" s="7">
        <f>IF(F25="Verified evidence",3,IF(F25="Implemented",2,IF(F25="Planned",1,0)))</f>
        <v/>
      </c>
    </row>
    <row r="26">
      <c r="A26" s="7" t="inlineStr">
        <is>
          <t>IR-02</t>
        </is>
      </c>
      <c r="B26" s="7" t="inlineStr">
        <is>
          <t>Incident response and resilience</t>
        </is>
      </c>
      <c r="C26" s="7" t="inlineStr">
        <is>
          <t>CC7</t>
        </is>
      </c>
      <c r="D26" s="7" t="inlineStr">
        <is>
          <t>The incident plan is tested, lessons are assigned, and actions are closed.</t>
        </is>
      </c>
      <c r="E26" s="10" t="inlineStr">
        <is>
          <t>Yes</t>
        </is>
      </c>
      <c r="F26" s="10" t="inlineStr">
        <is>
          <t>Missing or unknown</t>
        </is>
      </c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  <c r="N26" s="10" t="inlineStr"/>
      <c r="O26" s="10" t="inlineStr">
        <is>
          <t>Run a tabletop exercise and close the findings.</t>
        </is>
      </c>
      <c r="P26" s="7">
        <f>IF(F26="Verified evidence",3,IF(F26="Implemented",2,IF(F26="Planned",1,0)))</f>
        <v/>
      </c>
    </row>
    <row r="27">
      <c r="A27" s="7" t="inlineStr">
        <is>
          <t>IR-03</t>
        </is>
      </c>
      <c r="B27" s="7" t="inlineStr">
        <is>
          <t>Incident response and resilience</t>
        </is>
      </c>
      <c r="C27" s="7" t="inlineStr">
        <is>
          <t>A1</t>
        </is>
      </c>
      <c r="D27" s="7" t="inlineStr">
        <is>
          <t>Backups are monitored and restoration is tested for in-scope services and data.</t>
        </is>
      </c>
      <c r="E27" s="10" t="inlineStr">
        <is>
          <t>Yes</t>
        </is>
      </c>
      <c r="F27" s="10" t="inlineStr">
        <is>
          <t>Missing or unknown</t>
        </is>
      </c>
      <c r="G27" s="10" t="inlineStr"/>
      <c r="H27" s="10" t="inlineStr"/>
      <c r="I27" s="10" t="inlineStr"/>
      <c r="J27" s="10" t="inlineStr"/>
      <c r="K27" s="10" t="inlineStr"/>
      <c r="L27" s="10" t="inlineStr"/>
      <c r="M27" s="10" t="inlineStr"/>
      <c r="N27" s="10" t="inlineStr"/>
      <c r="O27" s="10" t="inlineStr">
        <is>
          <t>Test restoration and record results.</t>
        </is>
      </c>
      <c r="P27" s="7">
        <f>IF(F27="Verified evidence",3,IF(F27="Implemented",2,IF(F27="Planned",1,0)))</f>
        <v/>
      </c>
    </row>
    <row r="28">
      <c r="A28" s="7" t="inlineStr">
        <is>
          <t>IR-04</t>
        </is>
      </c>
      <c r="B28" s="7" t="inlineStr">
        <is>
          <t>Incident response and resilience</t>
        </is>
      </c>
      <c r="C28" s="7" t="inlineStr">
        <is>
          <t>A1</t>
        </is>
      </c>
      <c r="D28" s="7" t="inlineStr">
        <is>
          <t>Continuity plans match dependencies and recovery objectives.</t>
        </is>
      </c>
      <c r="E28" s="10" t="inlineStr">
        <is>
          <t>No</t>
        </is>
      </c>
      <c r="F28" s="10" t="inlineStr">
        <is>
          <t>Missing or unknown</t>
        </is>
      </c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  <c r="O28" s="10" t="inlineStr">
        <is>
          <t>Define recovery objectives and test recovery.</t>
        </is>
      </c>
      <c r="P28" s="7">
        <f>IF(F28="Verified evidence",3,IF(F28="Implemented",2,IF(F28="Planned",1,0)))</f>
        <v/>
      </c>
    </row>
    <row r="29">
      <c r="A29" s="7" t="inlineStr">
        <is>
          <t>VEN-01</t>
        </is>
      </c>
      <c r="B29" s="7" t="inlineStr">
        <is>
          <t>Vendor and subservice management</t>
        </is>
      </c>
      <c r="C29" s="7" t="inlineStr">
        <is>
          <t>CC9</t>
        </is>
      </c>
      <c r="D29" s="7" t="inlineStr">
        <is>
          <t>Material vendors have owners, data access, risk tier, and review dates.</t>
        </is>
      </c>
      <c r="E29" s="10" t="inlineStr">
        <is>
          <t>Yes</t>
        </is>
      </c>
      <c r="F29" s="10" t="inlineStr">
        <is>
          <t>Missing or unknown</t>
        </is>
      </c>
      <c r="G29" s="10" t="inlineStr"/>
      <c r="H29" s="10" t="inlineStr"/>
      <c r="I29" s="10" t="inlineStr"/>
      <c r="J29" s="10" t="inlineStr"/>
      <c r="K29" s="10" t="inlineStr"/>
      <c r="L29" s="10" t="inlineStr"/>
      <c r="M29" s="10" t="inlineStr"/>
      <c r="N29" s="10" t="inlineStr"/>
      <c r="O29" s="10" t="inlineStr">
        <is>
          <t>Create a risk-tiered vendor inventory.</t>
        </is>
      </c>
      <c r="P29" s="7">
        <f>IF(F29="Verified evidence",3,IF(F29="Implemented",2,IF(F29="Planned",1,0)))</f>
        <v/>
      </c>
    </row>
    <row r="30">
      <c r="A30" s="7" t="inlineStr">
        <is>
          <t>VEN-02</t>
        </is>
      </c>
      <c r="B30" s="7" t="inlineStr">
        <is>
          <t>Vendor and subservice management</t>
        </is>
      </c>
      <c r="C30" s="7" t="inlineStr">
        <is>
          <t>CC9</t>
        </is>
      </c>
      <c r="D30" s="7" t="inlineStr">
        <is>
          <t>Security due diligence occurs before use and on a risk-based cadence.</t>
        </is>
      </c>
      <c r="E30" s="10" t="inlineStr">
        <is>
          <t>Yes</t>
        </is>
      </c>
      <c r="F30" s="10" t="inlineStr">
        <is>
          <t>Missing or unknown</t>
        </is>
      </c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  <c r="N30" s="10" t="inlineStr"/>
      <c r="O30" s="10" t="inlineStr">
        <is>
          <t>Review material vendors and track findings.</t>
        </is>
      </c>
      <c r="P30" s="7">
        <f>IF(F30="Verified evidence",3,IF(F30="Implemented",2,IF(F30="Planned",1,0)))</f>
        <v/>
      </c>
    </row>
    <row r="31">
      <c r="A31" s="7" t="inlineStr">
        <is>
          <t>VEN-03</t>
        </is>
      </c>
      <c r="B31" s="7" t="inlineStr">
        <is>
          <t>Vendor and subservice management</t>
        </is>
      </c>
      <c r="C31" s="7" t="inlineStr">
        <is>
          <t>CC9</t>
        </is>
      </c>
      <c r="D31" s="7" t="inlineStr">
        <is>
          <t>Contracts address applicable security, confidentiality, privacy, availability, and incidents.</t>
        </is>
      </c>
      <c r="E31" s="10" t="inlineStr">
        <is>
          <t>No</t>
        </is>
      </c>
      <c r="F31" s="10" t="inlineStr">
        <is>
          <t>Missing or unknown</t>
        </is>
      </c>
      <c r="G31" s="10" t="inlineStr"/>
      <c r="H31" s="10" t="inlineStr"/>
      <c r="I31" s="10" t="inlineStr"/>
      <c r="J31" s="10" t="inlineStr"/>
      <c r="K31" s="10" t="inlineStr"/>
      <c r="L31" s="10" t="inlineStr"/>
      <c r="M31" s="10" t="inlineStr"/>
      <c r="N31" s="10" t="inlineStr"/>
      <c r="O31" s="10" t="inlineStr">
        <is>
          <t>Review material vendor security terms.</t>
        </is>
      </c>
      <c r="P31" s="7">
        <f>IF(F31="Verified evidence",3,IF(F31="Implemented",2,IF(F31="Planned",1,0)))</f>
        <v/>
      </c>
    </row>
    <row r="32">
      <c r="A32" s="7" t="inlineStr">
        <is>
          <t>VEN-04</t>
        </is>
      </c>
      <c r="B32" s="7" t="inlineStr">
        <is>
          <t>Vendor and subservice management</t>
        </is>
      </c>
      <c r="C32" s="7" t="inlineStr">
        <is>
          <t>CC9</t>
        </is>
      </c>
      <c r="D32" s="7" t="inlineStr">
        <is>
          <t>Material vendor service, security, and control changes are monitored.</t>
        </is>
      </c>
      <c r="E32" s="10" t="inlineStr">
        <is>
          <t>Yes</t>
        </is>
      </c>
      <c r="F32" s="10" t="inlineStr">
        <is>
          <t>Missing or unknown</t>
        </is>
      </c>
      <c r="G32" s="10" t="inlineStr"/>
      <c r="H32" s="10" t="inlineStr"/>
      <c r="I32" s="10" t="inlineStr"/>
      <c r="J32" s="10" t="inlineStr"/>
      <c r="K32" s="10" t="inlineStr"/>
      <c r="L32" s="10" t="inlineStr"/>
      <c r="M32" s="10" t="inlineStr"/>
      <c r="N32" s="10" t="inlineStr"/>
      <c r="O32" s="10" t="inlineStr">
        <is>
          <t>Review vendor reports and assign complementary controls.</t>
        </is>
      </c>
      <c r="P32" s="7">
        <f>IF(F32="Verified evidence",3,IF(F32="Implemented",2,IF(F32="Planned",1,0)))</f>
        <v/>
      </c>
    </row>
    <row r="33">
      <c r="A33" s="7" t="inlineStr">
        <is>
          <t>T2-01</t>
        </is>
      </c>
      <c r="B33" s="7" t="inlineStr">
        <is>
          <t>Type II operating evidence</t>
        </is>
      </c>
      <c r="C33" s="7" t="inlineStr">
        <is>
          <t>Operating effectiveness</t>
        </is>
      </c>
      <c r="D33" s="7" t="inlineStr">
        <is>
          <t>A matrix maps criteria, risks, owners, frequency, evidence, and systems.</t>
        </is>
      </c>
      <c r="E33" s="10" t="inlineStr">
        <is>
          <t>Yes</t>
        </is>
      </c>
      <c r="F33" s="10" t="inlineStr">
        <is>
          <t>Missing or unknown</t>
        </is>
      </c>
      <c r="G33" s="10" t="inlineStr"/>
      <c r="H33" s="10" t="inlineStr"/>
      <c r="I33" s="10" t="inlineStr"/>
      <c r="J33" s="10" t="inlineStr"/>
      <c r="K33" s="10" t="inlineStr"/>
      <c r="L33" s="10" t="inlineStr"/>
      <c r="M33" s="10" t="inlineStr"/>
      <c r="N33" s="10" t="inlineStr"/>
      <c r="O33" s="10" t="inlineStr">
        <is>
          <t>Build and approve the control matrix.</t>
        </is>
      </c>
      <c r="P33" s="7">
        <f>IF(F33="Verified evidence",3,IF(F33="Implemented",2,IF(F33="Planned",1,0)))</f>
        <v/>
      </c>
    </row>
    <row r="34">
      <c r="A34" s="7" t="inlineStr">
        <is>
          <t>T2-02</t>
        </is>
      </c>
      <c r="B34" s="7" t="inlineStr">
        <is>
          <t>Type II operating evidence</t>
        </is>
      </c>
      <c r="C34" s="7" t="inlineStr">
        <is>
          <t>Operating effectiveness</t>
        </is>
      </c>
      <c r="D34" s="7" t="inlineStr">
        <is>
          <t>Recurring controls operated on schedule across the planned period.</t>
        </is>
      </c>
      <c r="E34" s="10" t="inlineStr">
        <is>
          <t>Yes</t>
        </is>
      </c>
      <c r="F34" s="10" t="inlineStr">
        <is>
          <t>Missing or unknown</t>
        </is>
      </c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>
        <is>
          <t>Run controls on schedule and track exceptions.</t>
        </is>
      </c>
      <c r="P34" s="7">
        <f>IF(F34="Verified evidence",3,IF(F34="Implemented",2,IF(F34="Planned",1,0)))</f>
        <v/>
      </c>
    </row>
    <row r="35">
      <c r="A35" s="7" t="inlineStr">
        <is>
          <t>T2-03</t>
        </is>
      </c>
      <c r="B35" s="7" t="inlineStr">
        <is>
          <t>Type II operating evidence</t>
        </is>
      </c>
      <c r="C35" s="7" t="inlineStr">
        <is>
          <t>Operating effectiveness</t>
        </is>
      </c>
      <c r="D35" s="7" t="inlineStr">
        <is>
          <t>Evidence is complete, dated, attributable, and available for representative samples.</t>
        </is>
      </c>
      <c r="E35" s="10" t="inlineStr">
        <is>
          <t>Yes</t>
        </is>
      </c>
      <c r="F35" s="10" t="inlineStr">
        <is>
          <t>Missing or unknown</t>
        </is>
      </c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  <c r="N35" s="10" t="inlineStr"/>
      <c r="O35" s="10" t="inlineStr">
        <is>
          <t>Collect representative evidence with context.</t>
        </is>
      </c>
      <c r="P35" s="7">
        <f>IF(F35="Verified evidence",3,IF(F35="Implemented",2,IF(F35="Planned",1,0)))</f>
        <v/>
      </c>
    </row>
    <row r="36">
      <c r="A36" s="7" t="inlineStr">
        <is>
          <t>T2-04</t>
        </is>
      </c>
      <c r="B36" s="7" t="inlineStr">
        <is>
          <t>Type II operating evidence</t>
        </is>
      </c>
      <c r="C36" s="7" t="inlineStr">
        <is>
          <t>Operating effectiveness</t>
        </is>
      </c>
      <c r="D36" s="7" t="inlineStr">
        <is>
          <t>Complete populations can be produced for sampled controls.</t>
        </is>
      </c>
      <c r="E36" s="10" t="inlineStr">
        <is>
          <t>Yes</t>
        </is>
      </c>
      <c r="F36" s="10" t="inlineStr">
        <is>
          <t>Missing or unknown</t>
        </is>
      </c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0" t="inlineStr"/>
      <c r="O36" s="10" t="inlineStr">
        <is>
          <t>Validate complete populations before fieldwork.</t>
        </is>
      </c>
      <c r="P36" s="7">
        <f>IF(F36="Verified evidence",3,IF(F36="Implemented",2,IF(F36="Planned",1,0)))</f>
        <v/>
      </c>
    </row>
    <row r="37">
      <c r="A37" s="7" t="inlineStr">
        <is>
          <t>T2-05</t>
        </is>
      </c>
      <c r="B37" s="7" t="inlineStr">
        <is>
          <t>Type II operating evidence</t>
        </is>
      </c>
      <c r="C37" s="7" t="inlineStr">
        <is>
          <t>Operating effectiveness</t>
        </is>
      </c>
      <c r="D37" s="7" t="inlineStr">
        <is>
          <t>Exceptions have impact analysis, approval, remediation, and closure evidence.</t>
        </is>
      </c>
      <c r="E37" s="10" t="inlineStr">
        <is>
          <t>Yes</t>
        </is>
      </c>
      <c r="F37" s="10" t="inlineStr">
        <is>
          <t>Missing or unknown</t>
        </is>
      </c>
      <c r="G37" s="10" t="inlineStr"/>
      <c r="H37" s="10" t="inlineStr"/>
      <c r="I37" s="10" t="inlineStr"/>
      <c r="J37" s="10" t="inlineStr"/>
      <c r="K37" s="10" t="inlineStr"/>
      <c r="L37" s="10" t="inlineStr"/>
      <c r="M37" s="10" t="inlineStr"/>
      <c r="N37" s="10" t="inlineStr"/>
      <c r="O37" s="10" t="inlineStr">
        <is>
          <t>Document and close control exceptions.</t>
        </is>
      </c>
      <c r="P37" s="7">
        <f>IF(F37="Verified evidence",3,IF(F37="Implemented",2,IF(F37="Planned",1,0)))</f>
        <v/>
      </c>
    </row>
    <row r="38">
      <c r="A38" s="7" t="inlineStr">
        <is>
          <t>T2-06</t>
        </is>
      </c>
      <c r="B38" s="7" t="inlineStr">
        <is>
          <t>Type II operating evidence</t>
        </is>
      </c>
      <c r="C38" s="7" t="inlineStr">
        <is>
          <t>Operating effectiveness</t>
        </is>
      </c>
      <c r="D38" s="7" t="inlineStr">
        <is>
          <t>Management reviews readiness and accepts residual risks before fieldwork.</t>
        </is>
      </c>
      <c r="E38" s="10" t="inlineStr">
        <is>
          <t>Yes</t>
        </is>
      </c>
      <c r="F38" s="10" t="inlineStr">
        <is>
          <t>Missing or unknown</t>
        </is>
      </c>
      <c r="G38" s="10" t="inlineStr"/>
      <c r="H38" s="10" t="inlineStr"/>
      <c r="I38" s="10" t="inlineStr"/>
      <c r="J38" s="10" t="inlineStr"/>
      <c r="K38" s="10" t="inlineStr"/>
      <c r="L38" s="10" t="inlineStr"/>
      <c r="M38" s="10" t="inlineStr"/>
      <c r="N38" s="10" t="inlineStr"/>
      <c r="O38" s="10" t="inlineStr">
        <is>
          <t>Hold a readiness review and record decisions.</t>
        </is>
      </c>
      <c r="P38" s="7">
        <f>IF(F38="Verified evidence",3,IF(F38="Implemented",2,IF(F38="Planned",1,0)))</f>
        <v/>
      </c>
    </row>
    <row r="39">
      <c r="A39" s="7" t="inlineStr">
        <is>
          <t>A1.1</t>
        </is>
      </c>
      <c r="B39" s="7" t="inlineStr">
        <is>
          <t>Availability</t>
        </is>
      </c>
      <c r="C39" s="7" t="inlineStr">
        <is>
          <t>A1.1</t>
        </is>
      </c>
      <c r="D39" s="7" t="inlineStr">
        <is>
          <t>Capacity and performance are monitored against defined availability objectives.</t>
        </is>
      </c>
      <c r="E39" s="10" t="inlineStr">
        <is>
          <t>Conditional</t>
        </is>
      </c>
      <c r="F39" s="10" t="inlineStr">
        <is>
          <t>Missing or unknown</t>
        </is>
      </c>
      <c r="G39" s="10" t="inlineStr"/>
      <c r="H39" s="10" t="inlineStr"/>
      <c r="I39" s="10" t="inlineStr"/>
      <c r="J39" s="10" t="inlineStr"/>
      <c r="K39" s="10" t="inlineStr"/>
      <c r="L39" s="10" t="inlineStr"/>
      <c r="M39" s="10" t="inlineStr"/>
      <c r="N39" s="10" t="inlineStr"/>
      <c r="O39" s="10" t="inlineStr">
        <is>
          <t>Define availability objectives and operate capacity monitoring.</t>
        </is>
      </c>
      <c r="P39" s="7">
        <f>IF(F39="Verified evidence",3,IF(F39="Implemented",2,IF(F39="Planned",1,0)))</f>
        <v/>
      </c>
    </row>
    <row r="40">
      <c r="A40" s="7" t="inlineStr">
        <is>
          <t>A1.2</t>
        </is>
      </c>
      <c r="B40" s="7" t="inlineStr">
        <is>
          <t>Availability</t>
        </is>
      </c>
      <c r="C40" s="7" t="inlineStr">
        <is>
          <t>A1.2</t>
        </is>
      </c>
      <c r="D40" s="7" t="inlineStr">
        <is>
          <t>Environmental, backup, recovery, and redundancy safeguards support availability commitments.</t>
        </is>
      </c>
      <c r="E40" s="10" t="inlineStr">
        <is>
          <t>Conditional</t>
        </is>
      </c>
      <c r="F40" s="10" t="inlineStr">
        <is>
          <t>Missing or unknown</t>
        </is>
      </c>
      <c r="G40" s="10" t="inlineStr"/>
      <c r="H40" s="10" t="inlineStr"/>
      <c r="I40" s="10" t="inlineStr"/>
      <c r="J40" s="10" t="inlineStr"/>
      <c r="K40" s="10" t="inlineStr"/>
      <c r="L40" s="10" t="inlineStr"/>
      <c r="M40" s="10" t="inlineStr"/>
      <c r="N40" s="10" t="inlineStr"/>
      <c r="O40" s="10" t="inlineStr">
        <is>
          <t>Implement and evidence recovery and resilience safeguards.</t>
        </is>
      </c>
      <c r="P40" s="7">
        <f>IF(F40="Verified evidence",3,IF(F40="Implemented",2,IF(F40="Planned",1,0)))</f>
        <v/>
      </c>
    </row>
    <row r="41">
      <c r="A41" s="7" t="inlineStr">
        <is>
          <t>A1.3</t>
        </is>
      </c>
      <c r="B41" s="7" t="inlineStr">
        <is>
          <t>Availability</t>
        </is>
      </c>
      <c r="C41" s="7" t="inlineStr">
        <is>
          <t>A1.3</t>
        </is>
      </c>
      <c r="D41" s="7" t="inlineStr">
        <is>
          <t>Recovery and continuity procedures are tested and corrected.</t>
        </is>
      </c>
      <c r="E41" s="10" t="inlineStr">
        <is>
          <t>Conditional</t>
        </is>
      </c>
      <c r="F41" s="10" t="inlineStr">
        <is>
          <t>Missing or unknown</t>
        </is>
      </c>
      <c r="G41" s="10" t="inlineStr"/>
      <c r="H41" s="10" t="inlineStr"/>
      <c r="I41" s="10" t="inlineStr"/>
      <c r="J41" s="10" t="inlineStr"/>
      <c r="K41" s="10" t="inlineStr"/>
      <c r="L41" s="10" t="inlineStr"/>
      <c r="M41" s="10" t="inlineStr"/>
      <c r="N41" s="10" t="inlineStr"/>
      <c r="O41" s="10" t="inlineStr">
        <is>
          <t>Test recovery procedures and close the findings.</t>
        </is>
      </c>
      <c r="P41" s="7">
        <f>IF(F41="Verified evidence",3,IF(F41="Implemented",2,IF(F41="Planned",1,0)))</f>
        <v/>
      </c>
    </row>
    <row r="42">
      <c r="A42" s="7" t="inlineStr">
        <is>
          <t>C1.1</t>
        </is>
      </c>
      <c r="B42" s="7" t="inlineStr">
        <is>
          <t>Confidentiality</t>
        </is>
      </c>
      <c r="C42" s="7" t="inlineStr">
        <is>
          <t>C1.1</t>
        </is>
      </c>
      <c r="D42" s="7" t="inlineStr">
        <is>
          <t>Confidential information is identified and protected through its approved lifecycle.</t>
        </is>
      </c>
      <c r="E42" s="10" t="inlineStr">
        <is>
          <t>Conditional</t>
        </is>
      </c>
      <c r="F42" s="10" t="inlineStr">
        <is>
          <t>Missing or unknown</t>
        </is>
      </c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10" t="inlineStr"/>
      <c r="O42" s="10" t="inlineStr">
        <is>
          <t>Classify confidential information and enforce lifecycle controls.</t>
        </is>
      </c>
      <c r="P42" s="7">
        <f>IF(F42="Verified evidence",3,IF(F42="Implemented",2,IF(F42="Planned",1,0)))</f>
        <v/>
      </c>
    </row>
    <row r="43">
      <c r="A43" s="7" t="inlineStr">
        <is>
          <t>C1.2</t>
        </is>
      </c>
      <c r="B43" s="7" t="inlineStr">
        <is>
          <t>Confidentiality</t>
        </is>
      </c>
      <c r="C43" s="7" t="inlineStr">
        <is>
          <t>C1.2</t>
        </is>
      </c>
      <c r="D43" s="7" t="inlineStr">
        <is>
          <t>Confidential information is securely destroyed when retention ends.</t>
        </is>
      </c>
      <c r="E43" s="10" t="inlineStr">
        <is>
          <t>Conditional</t>
        </is>
      </c>
      <c r="F43" s="10" t="inlineStr">
        <is>
          <t>Missing or unknown</t>
        </is>
      </c>
      <c r="G43" s="10" t="inlineStr"/>
      <c r="H43" s="10" t="inlineStr"/>
      <c r="I43" s="10" t="inlineStr"/>
      <c r="J43" s="10" t="inlineStr"/>
      <c r="K43" s="10" t="inlineStr"/>
      <c r="L43" s="10" t="inlineStr"/>
      <c r="M43" s="10" t="inlineStr"/>
      <c r="N43" s="10" t="inlineStr"/>
      <c r="O43" s="10" t="inlineStr">
        <is>
          <t>Implement and evidence secure disposal.</t>
        </is>
      </c>
      <c r="P43" s="7">
        <f>IF(F43="Verified evidence",3,IF(F43="Implemented",2,IF(F43="Planned",1,0)))</f>
        <v/>
      </c>
    </row>
    <row r="44">
      <c r="A44" s="7" t="inlineStr">
        <is>
          <t>PI1.1</t>
        </is>
      </c>
      <c r="B44" s="7" t="inlineStr">
        <is>
          <t>Processing Integrity</t>
        </is>
      </c>
      <c r="C44" s="7" t="inlineStr">
        <is>
          <t>PI1.1</t>
        </is>
      </c>
      <c r="D44" s="7" t="inlineStr">
        <is>
          <t>Processing objectives and the information needed to meet them are defined.</t>
        </is>
      </c>
      <c r="E44" s="10" t="inlineStr">
        <is>
          <t>Conditional</t>
        </is>
      </c>
      <c r="F44" s="10" t="inlineStr">
        <is>
          <t>Missing or unknown</t>
        </is>
      </c>
      <c r="G44" s="10" t="inlineStr"/>
      <c r="H44" s="10" t="inlineStr"/>
      <c r="I44" s="10" t="inlineStr"/>
      <c r="J44" s="10" t="inlineStr"/>
      <c r="K44" s="10" t="inlineStr"/>
      <c r="L44" s="10" t="inlineStr"/>
      <c r="M44" s="10" t="inlineStr"/>
      <c r="N44" s="10" t="inlineStr"/>
      <c r="O44" s="10" t="inlineStr">
        <is>
          <t>Define processing objectives and quality measures.</t>
        </is>
      </c>
      <c r="P44" s="7">
        <f>IF(F44="Verified evidence",3,IF(F44="Implemented",2,IF(F44="Planned",1,0)))</f>
        <v/>
      </c>
    </row>
    <row r="45">
      <c r="A45" s="7" t="inlineStr">
        <is>
          <t>PI1.2</t>
        </is>
      </c>
      <c r="B45" s="7" t="inlineStr">
        <is>
          <t>Processing Integrity</t>
        </is>
      </c>
      <c r="C45" s="7" t="inlineStr">
        <is>
          <t>PI1.2</t>
        </is>
      </c>
      <c r="D45" s="7" t="inlineStr">
        <is>
          <t>Processing inputs are complete, accurate, timely, and authorized.</t>
        </is>
      </c>
      <c r="E45" s="10" t="inlineStr">
        <is>
          <t>Conditional</t>
        </is>
      </c>
      <c r="F45" s="10" t="inlineStr">
        <is>
          <t>Missing or unknown</t>
        </is>
      </c>
      <c r="G45" s="10" t="inlineStr"/>
      <c r="H45" s="10" t="inlineStr"/>
      <c r="I45" s="10" t="inlineStr"/>
      <c r="J45" s="10" t="inlineStr"/>
      <c r="K45" s="10" t="inlineStr"/>
      <c r="L45" s="10" t="inlineStr"/>
      <c r="M45" s="10" t="inlineStr"/>
      <c r="N45" s="10" t="inlineStr"/>
      <c r="O45" s="10" t="inlineStr">
        <is>
          <t>Implement and test input controls.</t>
        </is>
      </c>
      <c r="P45" s="7">
        <f>IF(F45="Verified evidence",3,IF(F45="Implemented",2,IF(F45="Planned",1,0)))</f>
        <v/>
      </c>
    </row>
    <row r="46">
      <c r="A46" s="7" t="inlineStr">
        <is>
          <t>PI1.3</t>
        </is>
      </c>
      <c r="B46" s="7" t="inlineStr">
        <is>
          <t>Processing Integrity</t>
        </is>
      </c>
      <c r="C46" s="7" t="inlineStr">
        <is>
          <t>PI1.3</t>
        </is>
      </c>
      <c r="D46" s="7" t="inlineStr">
        <is>
          <t>System processing is complete, valid, accurate, timely, and authorized.</t>
        </is>
      </c>
      <c r="E46" s="10" t="inlineStr">
        <is>
          <t>Conditional</t>
        </is>
      </c>
      <c r="F46" s="10" t="inlineStr">
        <is>
          <t>Missing or unknown</t>
        </is>
      </c>
      <c r="G46" s="10" t="inlineStr"/>
      <c r="H46" s="10" t="inlineStr"/>
      <c r="I46" s="10" t="inlineStr"/>
      <c r="J46" s="10" t="inlineStr"/>
      <c r="K46" s="10" t="inlineStr"/>
      <c r="L46" s="10" t="inlineStr"/>
      <c r="M46" s="10" t="inlineStr"/>
      <c r="N46" s="10" t="inlineStr"/>
      <c r="O46" s="10" t="inlineStr">
        <is>
          <t>Implement and evidence processing controls.</t>
        </is>
      </c>
      <c r="P46" s="7">
        <f>IF(F46="Verified evidence",3,IF(F46="Implemented",2,IF(F46="Planned",1,0)))</f>
        <v/>
      </c>
    </row>
    <row r="47">
      <c r="A47" s="7" t="inlineStr">
        <is>
          <t>PI1.4</t>
        </is>
      </c>
      <c r="B47" s="7" t="inlineStr">
        <is>
          <t>Processing Integrity</t>
        </is>
      </c>
      <c r="C47" s="7" t="inlineStr">
        <is>
          <t>PI1.4</t>
        </is>
      </c>
      <c r="D47" s="7" t="inlineStr">
        <is>
          <t>Processing outputs are complete, accurate, timely, and restricted to authorized recipients.</t>
        </is>
      </c>
      <c r="E47" s="10" t="inlineStr">
        <is>
          <t>Conditional</t>
        </is>
      </c>
      <c r="F47" s="10" t="inlineStr">
        <is>
          <t>Missing or unknown</t>
        </is>
      </c>
      <c r="G47" s="10" t="inlineStr"/>
      <c r="H47" s="10" t="inlineStr"/>
      <c r="I47" s="10" t="inlineStr"/>
      <c r="J47" s="10" t="inlineStr"/>
      <c r="K47" s="10" t="inlineStr"/>
      <c r="L47" s="10" t="inlineStr"/>
      <c r="M47" s="10" t="inlineStr"/>
      <c r="N47" s="10" t="inlineStr"/>
      <c r="O47" s="10" t="inlineStr">
        <is>
          <t>Implement and test output controls.</t>
        </is>
      </c>
      <c r="P47" s="7">
        <f>IF(F47="Verified evidence",3,IF(F47="Implemented",2,IF(F47="Planned",1,0)))</f>
        <v/>
      </c>
    </row>
    <row r="48">
      <c r="A48" s="7" t="inlineStr">
        <is>
          <t>PI1.5</t>
        </is>
      </c>
      <c r="B48" s="7" t="inlineStr">
        <is>
          <t>Processing Integrity</t>
        </is>
      </c>
      <c r="C48" s="7" t="inlineStr">
        <is>
          <t>PI1.5</t>
        </is>
      </c>
      <c r="D48" s="7" t="inlineStr">
        <is>
          <t>Stored processing records remain complete, accurate, timely, and authorized.</t>
        </is>
      </c>
      <c r="E48" s="10" t="inlineStr">
        <is>
          <t>Conditional</t>
        </is>
      </c>
      <c r="F48" s="10" t="inlineStr">
        <is>
          <t>Missing or unknown</t>
        </is>
      </c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  <c r="N48" s="10" t="inlineStr"/>
      <c r="O48" s="10" t="inlineStr">
        <is>
          <t>Protect and reconcile stored processing records.</t>
        </is>
      </c>
      <c r="P48" s="7">
        <f>IF(F48="Verified evidence",3,IF(F48="Implemented",2,IF(F48="Planned",1,0)))</f>
        <v/>
      </c>
    </row>
    <row r="49">
      <c r="A49" s="7" t="inlineStr">
        <is>
          <t>P1.1</t>
        </is>
      </c>
      <c r="B49" s="7" t="inlineStr">
        <is>
          <t>Privacy</t>
        </is>
      </c>
      <c r="C49" s="7" t="inlineStr">
        <is>
          <t>P1.1</t>
        </is>
      </c>
      <c r="D49" s="7" t="inlineStr">
        <is>
          <t>Privacy practices and commitments are described in a clear, current notice.</t>
        </is>
      </c>
      <c r="E49" s="10" t="inlineStr">
        <is>
          <t>Conditional</t>
        </is>
      </c>
      <c r="F49" s="10" t="inlineStr">
        <is>
          <t>Missing or unknown</t>
        </is>
      </c>
      <c r="G49" s="10" t="inlineStr"/>
      <c r="H49" s="10" t="inlineStr"/>
      <c r="I49" s="10" t="inlineStr"/>
      <c r="J49" s="10" t="inlineStr"/>
      <c r="K49" s="10" t="inlineStr"/>
      <c r="L49" s="10" t="inlineStr"/>
      <c r="M49" s="10" t="inlineStr"/>
      <c r="N49" s="10" t="inlineStr"/>
      <c r="O49" s="10" t="inlineStr">
        <is>
          <t>Publish and maintain an accurate privacy notice.</t>
        </is>
      </c>
      <c r="P49" s="7">
        <f>IF(F49="Verified evidence",3,IF(F49="Implemented",2,IF(F49="Planned",1,0)))</f>
        <v/>
      </c>
    </row>
    <row r="50">
      <c r="A50" s="7" t="inlineStr">
        <is>
          <t>P2.1</t>
        </is>
      </c>
      <c r="B50" s="7" t="inlineStr">
        <is>
          <t>Privacy</t>
        </is>
      </c>
      <c r="C50" s="7" t="inlineStr">
        <is>
          <t>P2.1</t>
        </is>
      </c>
      <c r="D50" s="7" t="inlineStr">
        <is>
          <t>Individuals receive required choices and consent is recorded.</t>
        </is>
      </c>
      <c r="E50" s="10" t="inlineStr">
        <is>
          <t>Conditional</t>
        </is>
      </c>
      <c r="F50" s="10" t="inlineStr">
        <is>
          <t>Missing or unknown</t>
        </is>
      </c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  <c r="O50" s="10" t="inlineStr">
        <is>
          <t>Implement consent and preference management.</t>
        </is>
      </c>
      <c r="P50" s="7">
        <f>IF(F50="Verified evidence",3,IF(F50="Implemented",2,IF(F50="Planned",1,0)))</f>
        <v/>
      </c>
    </row>
    <row r="51">
      <c r="A51" s="7" t="inlineStr">
        <is>
          <t>P3.1</t>
        </is>
      </c>
      <c r="B51" s="7" t="inlineStr">
        <is>
          <t>Privacy</t>
        </is>
      </c>
      <c r="C51" s="7" t="inlineStr">
        <is>
          <t>P3.1</t>
        </is>
      </c>
      <c r="D51" s="7" t="inlineStr">
        <is>
          <t>Personal information collection is limited to stated objectives.</t>
        </is>
      </c>
      <c r="E51" s="10" t="inlineStr">
        <is>
          <t>Conditional</t>
        </is>
      </c>
      <c r="F51" s="10" t="inlineStr">
        <is>
          <t>Missing or unknown</t>
        </is>
      </c>
      <c r="G51" s="10" t="inlineStr"/>
      <c r="H51" s="10" t="inlineStr"/>
      <c r="I51" s="10" t="inlineStr"/>
      <c r="J51" s="10" t="inlineStr"/>
      <c r="K51" s="10" t="inlineStr"/>
      <c r="L51" s="10" t="inlineStr"/>
      <c r="M51" s="10" t="inlineStr"/>
      <c r="N51" s="10" t="inlineStr"/>
      <c r="O51" s="10" t="inlineStr">
        <is>
          <t>Map and minimize personal information collection.</t>
        </is>
      </c>
      <c r="P51" s="7">
        <f>IF(F51="Verified evidence",3,IF(F51="Implemented",2,IF(F51="Planned",1,0)))</f>
        <v/>
      </c>
    </row>
    <row r="52">
      <c r="A52" s="7" t="inlineStr">
        <is>
          <t>P3.2</t>
        </is>
      </c>
      <c r="B52" s="7" t="inlineStr">
        <is>
          <t>Privacy</t>
        </is>
      </c>
      <c r="C52" s="7" t="inlineStr">
        <is>
          <t>P3.2</t>
        </is>
      </c>
      <c r="D52" s="7" t="inlineStr">
        <is>
          <t>Explicit consent is obtained when sensitive information requires it.</t>
        </is>
      </c>
      <c r="E52" s="10" t="inlineStr">
        <is>
          <t>Conditional</t>
        </is>
      </c>
      <c r="F52" s="10" t="inlineStr">
        <is>
          <t>Missing or unknown</t>
        </is>
      </c>
      <c r="G52" s="10" t="inlineStr"/>
      <c r="H52" s="10" t="inlineStr"/>
      <c r="I52" s="10" t="inlineStr"/>
      <c r="J52" s="10" t="inlineStr"/>
      <c r="K52" s="10" t="inlineStr"/>
      <c r="L52" s="10" t="inlineStr"/>
      <c r="M52" s="10" t="inlineStr"/>
      <c r="N52" s="10" t="inlineStr"/>
      <c r="O52" s="10" t="inlineStr">
        <is>
          <t>Implement explicit consent for sensitive information.</t>
        </is>
      </c>
      <c r="P52" s="7">
        <f>IF(F52="Verified evidence",3,IF(F52="Implemented",2,IF(F52="Planned",1,0)))</f>
        <v/>
      </c>
    </row>
    <row r="53">
      <c r="A53" s="7" t="inlineStr">
        <is>
          <t>P4.1</t>
        </is>
      </c>
      <c r="B53" s="7" t="inlineStr">
        <is>
          <t>Privacy</t>
        </is>
      </c>
      <c r="C53" s="7" t="inlineStr">
        <is>
          <t>P4.1</t>
        </is>
      </c>
      <c r="D53" s="7" t="inlineStr">
        <is>
          <t>Use of personal information is limited to stated objectives and commitments.</t>
        </is>
      </c>
      <c r="E53" s="10" t="inlineStr">
        <is>
          <t>Conditional</t>
        </is>
      </c>
      <c r="F53" s="10" t="inlineStr">
        <is>
          <t>Missing or unknown</t>
        </is>
      </c>
      <c r="G53" s="10" t="inlineStr"/>
      <c r="H53" s="10" t="inlineStr"/>
      <c r="I53" s="10" t="inlineStr"/>
      <c r="J53" s="10" t="inlineStr"/>
      <c r="K53" s="10" t="inlineStr"/>
      <c r="L53" s="10" t="inlineStr"/>
      <c r="M53" s="10" t="inlineStr"/>
      <c r="N53" s="10" t="inlineStr"/>
      <c r="O53" s="10" t="inlineStr">
        <is>
          <t>Restrict and monitor personal information use.</t>
        </is>
      </c>
      <c r="P53" s="7">
        <f>IF(F53="Verified evidence",3,IF(F53="Implemented",2,IF(F53="Planned",1,0)))</f>
        <v/>
      </c>
    </row>
    <row r="54">
      <c r="A54" s="7" t="inlineStr">
        <is>
          <t>P4.2</t>
        </is>
      </c>
      <c r="B54" s="7" t="inlineStr">
        <is>
          <t>Privacy</t>
        </is>
      </c>
      <c r="C54" s="7" t="inlineStr">
        <is>
          <t>P4.2</t>
        </is>
      </c>
      <c r="D54" s="7" t="inlineStr">
        <is>
          <t>Personal information is retained only for approved periods.</t>
        </is>
      </c>
      <c r="E54" s="10" t="inlineStr">
        <is>
          <t>Conditional</t>
        </is>
      </c>
      <c r="F54" s="10" t="inlineStr">
        <is>
          <t>Missing or unknown</t>
        </is>
      </c>
      <c r="G54" s="10" t="inlineStr"/>
      <c r="H54" s="10" t="inlineStr"/>
      <c r="I54" s="10" t="inlineStr"/>
      <c r="J54" s="10" t="inlineStr"/>
      <c r="K54" s="10" t="inlineStr"/>
      <c r="L54" s="10" t="inlineStr"/>
      <c r="M54" s="10" t="inlineStr"/>
      <c r="N54" s="10" t="inlineStr"/>
      <c r="O54" s="10" t="inlineStr">
        <is>
          <t>Implement and evidence privacy retention rules.</t>
        </is>
      </c>
      <c r="P54" s="7">
        <f>IF(F54="Verified evidence",3,IF(F54="Implemented",2,IF(F54="Planned",1,0)))</f>
        <v/>
      </c>
    </row>
    <row r="55">
      <c r="A55" s="7" t="inlineStr">
        <is>
          <t>P4.3</t>
        </is>
      </c>
      <c r="B55" s="7" t="inlineStr">
        <is>
          <t>Privacy</t>
        </is>
      </c>
      <c r="C55" s="7" t="inlineStr">
        <is>
          <t>P4.3</t>
        </is>
      </c>
      <c r="D55" s="7" t="inlineStr">
        <is>
          <t>Personal information is securely destroyed when retention ends.</t>
        </is>
      </c>
      <c r="E55" s="10" t="inlineStr">
        <is>
          <t>Conditional</t>
        </is>
      </c>
      <c r="F55" s="10" t="inlineStr">
        <is>
          <t>Missing or unknown</t>
        </is>
      </c>
      <c r="G55" s="10" t="inlineStr"/>
      <c r="H55" s="10" t="inlineStr"/>
      <c r="I55" s="10" t="inlineStr"/>
      <c r="J55" s="10" t="inlineStr"/>
      <c r="K55" s="10" t="inlineStr"/>
      <c r="L55" s="10" t="inlineStr"/>
      <c r="M55" s="10" t="inlineStr"/>
      <c r="N55" s="10" t="inlineStr"/>
      <c r="O55" s="10" t="inlineStr">
        <is>
          <t>Implement and verify personal information disposal.</t>
        </is>
      </c>
      <c r="P55" s="7">
        <f>IF(F55="Verified evidence",3,IF(F55="Implemented",2,IF(F55="Planned",1,0)))</f>
        <v/>
      </c>
    </row>
    <row r="56">
      <c r="A56" s="7" t="inlineStr">
        <is>
          <t>P5.1</t>
        </is>
      </c>
      <c r="B56" s="7" t="inlineStr">
        <is>
          <t>Privacy</t>
        </is>
      </c>
      <c r="C56" s="7" t="inlineStr">
        <is>
          <t>P5.1</t>
        </is>
      </c>
      <c r="D56" s="7" t="inlineStr">
        <is>
          <t>Individuals can access, correct, or amend personal information as required.</t>
        </is>
      </c>
      <c r="E56" s="10" t="inlineStr">
        <is>
          <t>Conditional</t>
        </is>
      </c>
      <c r="F56" s="10" t="inlineStr">
        <is>
          <t>Missing or unknown</t>
        </is>
      </c>
      <c r="G56" s="10" t="inlineStr"/>
      <c r="H56" s="10" t="inlineStr"/>
      <c r="I56" s="10" t="inlineStr"/>
      <c r="J56" s="10" t="inlineStr"/>
      <c r="K56" s="10" t="inlineStr"/>
      <c r="L56" s="10" t="inlineStr"/>
      <c r="M56" s="10" t="inlineStr"/>
      <c r="N56" s="10" t="inlineStr"/>
      <c r="O56" s="10" t="inlineStr">
        <is>
          <t>Implement and test individual rights requests.</t>
        </is>
      </c>
      <c r="P56" s="7">
        <f>IF(F56="Verified evidence",3,IF(F56="Implemented",2,IF(F56="Planned",1,0)))</f>
        <v/>
      </c>
    </row>
    <row r="57">
      <c r="A57" s="7" t="inlineStr">
        <is>
          <t>P6.1</t>
        </is>
      </c>
      <c r="B57" s="7" t="inlineStr">
        <is>
          <t>Privacy</t>
        </is>
      </c>
      <c r="C57" s="7" t="inlineStr">
        <is>
          <t>P6.1</t>
        </is>
      </c>
      <c r="D57" s="7" t="inlineStr">
        <is>
          <t>Disclosures follow consent, commitments, and approved purposes.</t>
        </is>
      </c>
      <c r="E57" s="10" t="inlineStr">
        <is>
          <t>Conditional</t>
        </is>
      </c>
      <c r="F57" s="10" t="inlineStr">
        <is>
          <t>Missing or unknown</t>
        </is>
      </c>
      <c r="G57" s="10" t="inlineStr"/>
      <c r="H57" s="10" t="inlineStr"/>
      <c r="I57" s="10" t="inlineStr"/>
      <c r="J57" s="10" t="inlineStr"/>
      <c r="K57" s="10" t="inlineStr"/>
      <c r="L57" s="10" t="inlineStr"/>
      <c r="M57" s="10" t="inlineStr"/>
      <c r="N57" s="10" t="inlineStr"/>
      <c r="O57" s="10" t="inlineStr">
        <is>
          <t>Authorize and record personal information disclosures.</t>
        </is>
      </c>
      <c r="P57" s="7">
        <f>IF(F57="Verified evidence",3,IF(F57="Implemented",2,IF(F57="Planned",1,0)))</f>
        <v/>
      </c>
    </row>
    <row r="58">
      <c r="A58" s="7" t="inlineStr">
        <is>
          <t>P6.2</t>
        </is>
      </c>
      <c r="B58" s="7" t="inlineStr">
        <is>
          <t>Privacy</t>
        </is>
      </c>
      <c r="C58" s="7" t="inlineStr">
        <is>
          <t>P6.2</t>
        </is>
      </c>
      <c r="D58" s="7" t="inlineStr">
        <is>
          <t>Third parties receive enforceable privacy and protection requirements.</t>
        </is>
      </c>
      <c r="E58" s="10" t="inlineStr">
        <is>
          <t>Conditional</t>
        </is>
      </c>
      <c r="F58" s="10" t="inlineStr">
        <is>
          <t>Missing or unknown</t>
        </is>
      </c>
      <c r="G58" s="10" t="inlineStr"/>
      <c r="H58" s="10" t="inlineStr"/>
      <c r="I58" s="10" t="inlineStr"/>
      <c r="J58" s="10" t="inlineStr"/>
      <c r="K58" s="10" t="inlineStr"/>
      <c r="L58" s="10" t="inlineStr"/>
      <c r="M58" s="10" t="inlineStr"/>
      <c r="N58" s="10" t="inlineStr"/>
      <c r="O58" s="10" t="inlineStr">
        <is>
          <t>Establish required third-party privacy terms.</t>
        </is>
      </c>
      <c r="P58" s="7">
        <f>IF(F58="Verified evidence",3,IF(F58="Implemented",2,IF(F58="Planned",1,0)))</f>
        <v/>
      </c>
    </row>
    <row r="59">
      <c r="A59" s="7" t="inlineStr">
        <is>
          <t>P6.3</t>
        </is>
      </c>
      <c r="B59" s="7" t="inlineStr">
        <is>
          <t>Privacy</t>
        </is>
      </c>
      <c r="C59" s="7" t="inlineStr">
        <is>
          <t>P6.3</t>
        </is>
      </c>
      <c r="D59" s="7" t="inlineStr">
        <is>
          <t>Third parties are assessed before receiving personal information.</t>
        </is>
      </c>
      <c r="E59" s="10" t="inlineStr">
        <is>
          <t>Conditional</t>
        </is>
      </c>
      <c r="F59" s="10" t="inlineStr">
        <is>
          <t>Missing or unknown</t>
        </is>
      </c>
      <c r="G59" s="10" t="inlineStr"/>
      <c r="H59" s="10" t="inlineStr"/>
      <c r="I59" s="10" t="inlineStr"/>
      <c r="J59" s="10" t="inlineStr"/>
      <c r="K59" s="10" t="inlineStr"/>
      <c r="L59" s="10" t="inlineStr"/>
      <c r="M59" s="10" t="inlineStr"/>
      <c r="N59" s="10" t="inlineStr"/>
      <c r="O59" s="10" t="inlineStr">
        <is>
          <t>Assess third parties before personal information disclosure.</t>
        </is>
      </c>
      <c r="P59" s="7">
        <f>IF(F59="Verified evidence",3,IF(F59="Implemented",2,IF(F59="Planned",1,0)))</f>
        <v/>
      </c>
    </row>
    <row r="60">
      <c r="A60" s="7" t="inlineStr">
        <is>
          <t>P6.4</t>
        </is>
      </c>
      <c r="B60" s="7" t="inlineStr">
        <is>
          <t>Privacy</t>
        </is>
      </c>
      <c r="C60" s="7" t="inlineStr">
        <is>
          <t>P6.4</t>
        </is>
      </c>
      <c r="D60" s="7" t="inlineStr">
        <is>
          <t>Third-party privacy commitments are monitored.</t>
        </is>
      </c>
      <c r="E60" s="10" t="inlineStr">
        <is>
          <t>Conditional</t>
        </is>
      </c>
      <c r="F60" s="10" t="inlineStr">
        <is>
          <t>Missing or unknown</t>
        </is>
      </c>
      <c r="G60" s="10" t="inlineStr"/>
      <c r="H60" s="10" t="inlineStr"/>
      <c r="I60" s="10" t="inlineStr"/>
      <c r="J60" s="10" t="inlineStr"/>
      <c r="K60" s="10" t="inlineStr"/>
      <c r="L60" s="10" t="inlineStr"/>
      <c r="M60" s="10" t="inlineStr"/>
      <c r="N60" s="10" t="inlineStr"/>
      <c r="O60" s="10" t="inlineStr">
        <is>
          <t>Monitor third-party privacy performance.</t>
        </is>
      </c>
      <c r="P60" s="7">
        <f>IF(F60="Verified evidence",3,IF(F60="Implemented",2,IF(F60="Planned",1,0)))</f>
        <v/>
      </c>
    </row>
    <row r="61">
      <c r="A61" s="7" t="inlineStr">
        <is>
          <t>P6.5</t>
        </is>
      </c>
      <c r="B61" s="7" t="inlineStr">
        <is>
          <t>Privacy</t>
        </is>
      </c>
      <c r="C61" s="7" t="inlineStr">
        <is>
          <t>P6.5</t>
        </is>
      </c>
      <c r="D61" s="7" t="inlineStr">
        <is>
          <t>Unauthorized third-party use is remediated.</t>
        </is>
      </c>
      <c r="E61" s="10" t="inlineStr">
        <is>
          <t>Conditional</t>
        </is>
      </c>
      <c r="F61" s="10" t="inlineStr">
        <is>
          <t>Missing or unknown</t>
        </is>
      </c>
      <c r="G61" s="10" t="inlineStr"/>
      <c r="H61" s="10" t="inlineStr"/>
      <c r="I61" s="10" t="inlineStr"/>
      <c r="J61" s="10" t="inlineStr"/>
      <c r="K61" s="10" t="inlineStr"/>
      <c r="L61" s="10" t="inlineStr"/>
      <c r="M61" s="10" t="inlineStr"/>
      <c r="N61" s="10" t="inlineStr"/>
      <c r="O61" s="10" t="inlineStr">
        <is>
          <t>Create and test third-party misuse response.</t>
        </is>
      </c>
      <c r="P61" s="7">
        <f>IF(F61="Verified evidence",3,IF(F61="Implemented",2,IF(F61="Planned",1,0)))</f>
        <v/>
      </c>
    </row>
    <row r="62">
      <c r="A62" s="7" t="inlineStr">
        <is>
          <t>P6.6</t>
        </is>
      </c>
      <c r="B62" s="7" t="inlineStr">
        <is>
          <t>Privacy</t>
        </is>
      </c>
      <c r="C62" s="7" t="inlineStr">
        <is>
          <t>P6.6</t>
        </is>
      </c>
      <c r="D62" s="7" t="inlineStr">
        <is>
          <t>Affected parties receive required breach and disclosure notifications.</t>
        </is>
      </c>
      <c r="E62" s="10" t="inlineStr">
        <is>
          <t>Conditional</t>
        </is>
      </c>
      <c r="F62" s="10" t="inlineStr">
        <is>
          <t>Missing or unknown</t>
        </is>
      </c>
      <c r="G62" s="10" t="inlineStr"/>
      <c r="H62" s="10" t="inlineStr"/>
      <c r="I62" s="10" t="inlineStr"/>
      <c r="J62" s="10" t="inlineStr"/>
      <c r="K62" s="10" t="inlineStr"/>
      <c r="L62" s="10" t="inlineStr"/>
      <c r="M62" s="10" t="inlineStr"/>
      <c r="N62" s="10" t="inlineStr"/>
      <c r="O62" s="10" t="inlineStr">
        <is>
          <t>Implement privacy notification decision and delivery procedures.</t>
        </is>
      </c>
      <c r="P62" s="7">
        <f>IF(F62="Verified evidence",3,IF(F62="Implemented",2,IF(F62="Planned",1,0)))</f>
        <v/>
      </c>
    </row>
    <row r="63">
      <c r="A63" s="7" t="inlineStr">
        <is>
          <t>P6.7</t>
        </is>
      </c>
      <c r="B63" s="7" t="inlineStr">
        <is>
          <t>Privacy</t>
        </is>
      </c>
      <c r="C63" s="7" t="inlineStr">
        <is>
          <t>P6.7</t>
        </is>
      </c>
      <c r="D63" s="7" t="inlineStr">
        <is>
          <t>Disclosures are recorded so the organization can account for them.</t>
        </is>
      </c>
      <c r="E63" s="10" t="inlineStr">
        <is>
          <t>Conditional</t>
        </is>
      </c>
      <c r="F63" s="10" t="inlineStr">
        <is>
          <t>Missing or unknown</t>
        </is>
      </c>
      <c r="G63" s="10" t="inlineStr"/>
      <c r="H63" s="10" t="inlineStr"/>
      <c r="I63" s="10" t="inlineStr"/>
      <c r="J63" s="10" t="inlineStr"/>
      <c r="K63" s="10" t="inlineStr"/>
      <c r="L63" s="10" t="inlineStr"/>
      <c r="M63" s="10" t="inlineStr"/>
      <c r="N63" s="10" t="inlineStr"/>
      <c r="O63" s="10" t="inlineStr">
        <is>
          <t>Maintain a complete personal information disclosure log.</t>
        </is>
      </c>
      <c r="P63" s="7">
        <f>IF(F63="Verified evidence",3,IF(F63="Implemented",2,IF(F63="Planned",1,0)))</f>
        <v/>
      </c>
    </row>
    <row r="64">
      <c r="A64" s="7" t="inlineStr">
        <is>
          <t>P7.1</t>
        </is>
      </c>
      <c r="B64" s="7" t="inlineStr">
        <is>
          <t>Privacy</t>
        </is>
      </c>
      <c r="C64" s="7" t="inlineStr">
        <is>
          <t>P7.1</t>
        </is>
      </c>
      <c r="D64" s="7" t="inlineStr">
        <is>
          <t>Personal information quality is maintained for its intended use.</t>
        </is>
      </c>
      <c r="E64" s="10" t="inlineStr">
        <is>
          <t>Conditional</t>
        </is>
      </c>
      <c r="F64" s="10" t="inlineStr">
        <is>
          <t>Missing or unknown</t>
        </is>
      </c>
      <c r="G64" s="10" t="inlineStr"/>
      <c r="H64" s="10" t="inlineStr"/>
      <c r="I64" s="10" t="inlineStr"/>
      <c r="J64" s="10" t="inlineStr"/>
      <c r="K64" s="10" t="inlineStr"/>
      <c r="L64" s="10" t="inlineStr"/>
      <c r="M64" s="10" t="inlineStr"/>
      <c r="N64" s="10" t="inlineStr"/>
      <c r="O64" s="10" t="inlineStr">
        <is>
          <t>Implement personal information quality controls.</t>
        </is>
      </c>
      <c r="P64" s="7">
        <f>IF(F64="Verified evidence",3,IF(F64="Implemented",2,IF(F64="Planned",1,0)))</f>
        <v/>
      </c>
    </row>
    <row r="65">
      <c r="A65" s="7" t="inlineStr">
        <is>
          <t>P8.1</t>
        </is>
      </c>
      <c r="B65" s="7" t="inlineStr">
        <is>
          <t>Privacy</t>
        </is>
      </c>
      <c r="C65" s="7" t="inlineStr">
        <is>
          <t>P8.1</t>
        </is>
      </c>
      <c r="D65" s="7" t="inlineStr">
        <is>
          <t>Privacy inquiries, complaints, and disputes are resolved and tracked.</t>
        </is>
      </c>
      <c r="E65" s="10" t="inlineStr">
        <is>
          <t>Conditional</t>
        </is>
      </c>
      <c r="F65" s="10" t="inlineStr">
        <is>
          <t>Missing or unknown</t>
        </is>
      </c>
      <c r="G65" s="10" t="inlineStr"/>
      <c r="H65" s="10" t="inlineStr"/>
      <c r="I65" s="10" t="inlineStr"/>
      <c r="J65" s="10" t="inlineStr"/>
      <c r="K65" s="10" t="inlineStr"/>
      <c r="L65" s="10" t="inlineStr"/>
      <c r="M65" s="10" t="inlineStr"/>
      <c r="N65" s="10" t="inlineStr"/>
      <c r="O65" s="10" t="inlineStr">
        <is>
          <t>Implement privacy inquiry and complaint handling.</t>
        </is>
      </c>
      <c r="P65" s="7">
        <f>IF(F65="Verified evidence",3,IF(F65="Implemented",2,IF(F65="Planned",1,0)))</f>
        <v/>
      </c>
    </row>
  </sheetData>
  <autoFilter ref="A4:P65"/>
  <mergeCells count="2">
    <mergeCell ref="A2:H2"/>
    <mergeCell ref="A1:H1"/>
  </mergeCells>
  <conditionalFormatting sqref="F5:F65">
    <cfRule type="expression" priority="1" dxfId="0">
      <formula>F5="Verified evidence"</formula>
    </cfRule>
    <cfRule type="expression" priority="2" dxfId="1">
      <formula>F5="Missing or unknown"</formula>
    </cfRule>
  </conditionalFormatting>
  <dataValidations count="2">
    <dataValidation sqref="F5:F65" showDropDown="0" showInputMessage="0" showErrorMessage="0" allowBlank="0" type="list">
      <formula1>"Missing or unknown,Planned,Implemented,Verified evidence,Not applicable"</formula1>
    </dataValidation>
    <dataValidation sqref="E5:E65" showDropDown="0" showInputMessage="0" showErrorMessage="0" allowBlank="0" type="list">
      <formula1>"Yes,No,Conditional"</formula1>
    </dataValidation>
  </dataValidations>
  <pageMargins left="0.75" right="0.75" top="1" bottom="1" header="0.5" footer="0.5"/>
  <pageSetup fitToHeight="0" fitToWidth="1"/>
  <headerFooter>
    <oddHeader/>
    <oddFooter>&amp;CCPF Coaching | SOC 2 Type II readiness | Planning use only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20" customWidth="1" min="4" max="4"/>
    <col width="45" customWidth="1" min="5" max="5"/>
    <col width="20" customWidth="1" min="6" max="6"/>
    <col width="15" customWidth="1" min="7" max="7"/>
    <col width="25" customWidth="1" min="8" max="8"/>
    <col width="40" customWidth="1" min="9" max="9"/>
    <col width="35" customWidth="1" min="10" max="10"/>
    <col width="18" customWidth="1" min="11" max="11"/>
  </cols>
  <sheetData>
    <row r="1" ht="30" customHeight="1">
      <c r="A1" s="1" t="inlineStr">
        <is>
          <t>Implementation Plan</t>
        </is>
      </c>
    </row>
    <row r="2" ht="30" customHeight="1">
      <c r="A2" s="2" t="inlineStr">
        <is>
          <t>Use for controls below Verified evidence. Keep dates and decisions current.</t>
        </is>
      </c>
    </row>
    <row r="4">
      <c r="A4" s="6" t="inlineStr">
        <is>
          <t>Priority</t>
        </is>
      </c>
      <c r="B4" s="6" t="inlineStr">
        <is>
          <t>Control ID</t>
        </is>
      </c>
      <c r="C4" s="6" t="inlineStr">
        <is>
          <t>Domain</t>
        </is>
      </c>
      <c r="D4" s="6" t="inlineStr">
        <is>
          <t>Current status</t>
        </is>
      </c>
      <c r="E4" s="6" t="inlineStr">
        <is>
          <t>Required action</t>
        </is>
      </c>
      <c r="F4" s="6" t="inlineStr">
        <is>
          <t>Owner</t>
        </is>
      </c>
      <c r="G4" s="6" t="inlineStr">
        <is>
          <t>Target date</t>
        </is>
      </c>
      <c r="H4" s="6" t="inlineStr">
        <is>
          <t>Dependency</t>
        </is>
      </c>
      <c r="I4" s="6" t="inlineStr">
        <is>
          <t>Decision or update</t>
        </is>
      </c>
      <c r="J4" s="6" t="inlineStr">
        <is>
          <t>Completion evidence</t>
        </is>
      </c>
      <c r="K4" s="6" t="inlineStr">
        <is>
          <t>Status</t>
        </is>
      </c>
    </row>
    <row r="5">
      <c r="A5" s="7" t="inlineStr"/>
      <c r="B5" s="7" t="inlineStr">
        <is>
          <t>SCP-01</t>
        </is>
      </c>
      <c r="C5" s="7" t="inlineStr">
        <is>
          <t>Scope and system description</t>
        </is>
      </c>
      <c r="D5" s="7">
        <f>'Control Matrix'!F5</f>
        <v/>
      </c>
      <c r="E5" s="7" t="inlineStr">
        <is>
          <t>Approve the system boundary and system description.</t>
        </is>
      </c>
      <c r="F5" s="7" t="inlineStr"/>
      <c r="G5" s="7" t="inlineStr"/>
      <c r="H5" s="7" t="inlineStr"/>
      <c r="I5" s="7" t="inlineStr"/>
      <c r="J5" s="7" t="inlineStr"/>
      <c r="K5" s="7" t="inlineStr">
        <is>
          <t>Not started</t>
        </is>
      </c>
    </row>
    <row r="6">
      <c r="A6" s="7" t="inlineStr"/>
      <c r="B6" s="7" t="inlineStr">
        <is>
          <t>SCP-02</t>
        </is>
      </c>
      <c r="C6" s="7" t="inlineStr">
        <is>
          <t>Scope and system description</t>
        </is>
      </c>
      <c r="D6" s="7">
        <f>'Control Matrix'!F6</f>
        <v/>
      </c>
      <c r="E6" s="7" t="inlineStr">
        <is>
          <t>Map customer commitments to the selected criteria.</t>
        </is>
      </c>
      <c r="F6" s="7" t="inlineStr"/>
      <c r="G6" s="7" t="inlineStr"/>
      <c r="H6" s="7" t="inlineStr"/>
      <c r="I6" s="7" t="inlineStr"/>
      <c r="J6" s="7" t="inlineStr"/>
      <c r="K6" s="7" t="inlineStr">
        <is>
          <t>Not started</t>
        </is>
      </c>
    </row>
    <row r="7">
      <c r="A7" s="7" t="inlineStr"/>
      <c r="B7" s="7" t="inlineStr">
        <is>
          <t>SCP-03</t>
        </is>
      </c>
      <c r="C7" s="7" t="inlineStr">
        <is>
          <t>Scope and system description</t>
        </is>
      </c>
      <c r="D7" s="7">
        <f>'Control Matrix'!F7</f>
        <v/>
      </c>
      <c r="E7" s="7" t="inlineStr">
        <is>
          <t>Document subservice organizations and their treatment.</t>
        </is>
      </c>
      <c r="F7" s="7" t="inlineStr"/>
      <c r="G7" s="7" t="inlineStr"/>
      <c r="H7" s="7" t="inlineStr"/>
      <c r="I7" s="7" t="inlineStr"/>
      <c r="J7" s="7" t="inlineStr"/>
      <c r="K7" s="7" t="inlineStr">
        <is>
          <t>Not started</t>
        </is>
      </c>
    </row>
    <row r="8">
      <c r="A8" s="7" t="inlineStr"/>
      <c r="B8" s="7" t="inlineStr">
        <is>
          <t>SCP-04</t>
        </is>
      </c>
      <c r="C8" s="7" t="inlineStr">
        <is>
          <t>Scope and system description</t>
        </is>
      </c>
      <c r="D8" s="7">
        <f>'Control Matrix'!F8</f>
        <v/>
      </c>
      <c r="E8" s="7" t="inlineStr">
        <is>
          <t>Draft and validate the system description.</t>
        </is>
      </c>
      <c r="F8" s="7" t="inlineStr"/>
      <c r="G8" s="7" t="inlineStr"/>
      <c r="H8" s="7" t="inlineStr"/>
      <c r="I8" s="7" t="inlineStr"/>
      <c r="J8" s="7" t="inlineStr"/>
      <c r="K8" s="7" t="inlineStr">
        <is>
          <t>Not started</t>
        </is>
      </c>
    </row>
    <row r="9">
      <c r="A9" s="7" t="inlineStr"/>
      <c r="B9" s="7" t="inlineStr">
        <is>
          <t>GOV-01</t>
        </is>
      </c>
      <c r="C9" s="7" t="inlineStr">
        <is>
          <t>Governance and risk management</t>
        </is>
      </c>
      <c r="D9" s="7">
        <f>'Control Matrix'!F9</f>
        <v/>
      </c>
      <c r="E9" s="7" t="inlineStr">
        <is>
          <t>Assign control owners and a recurring oversight review.</t>
        </is>
      </c>
      <c r="F9" s="7" t="inlineStr"/>
      <c r="G9" s="7" t="inlineStr"/>
      <c r="H9" s="7" t="inlineStr"/>
      <c r="I9" s="7" t="inlineStr"/>
      <c r="J9" s="7" t="inlineStr"/>
      <c r="K9" s="7" t="inlineStr">
        <is>
          <t>Not started</t>
        </is>
      </c>
    </row>
    <row r="10">
      <c r="A10" s="7" t="inlineStr"/>
      <c r="B10" s="7" t="inlineStr">
        <is>
          <t>GOV-02</t>
        </is>
      </c>
      <c r="C10" s="7" t="inlineStr">
        <is>
          <t>Governance and risk management</t>
        </is>
      </c>
      <c r="D10" s="7">
        <f>'Control Matrix'!F10</f>
        <v/>
      </c>
      <c r="E10" s="7" t="inlineStr">
        <is>
          <t>Complete and approve a risk assessment and treatment plan.</t>
        </is>
      </c>
      <c r="F10" s="7" t="inlineStr"/>
      <c r="G10" s="7" t="inlineStr"/>
      <c r="H10" s="7" t="inlineStr"/>
      <c r="I10" s="7" t="inlineStr"/>
      <c r="J10" s="7" t="inlineStr"/>
      <c r="K10" s="7" t="inlineStr">
        <is>
          <t>Not started</t>
        </is>
      </c>
    </row>
    <row r="11">
      <c r="A11" s="7" t="inlineStr"/>
      <c r="B11" s="7" t="inlineStr">
        <is>
          <t>GOV-03</t>
        </is>
      </c>
      <c r="C11" s="7" t="inlineStr">
        <is>
          <t>Governance and risk management</t>
        </is>
      </c>
      <c r="D11" s="7">
        <f>'Control Matrix'!F11</f>
        <v/>
      </c>
      <c r="E11" s="7" t="inlineStr">
        <is>
          <t>Set policy owners, approval dates, and acknowledgement evidence.</t>
        </is>
      </c>
      <c r="F11" s="7" t="inlineStr"/>
      <c r="G11" s="7" t="inlineStr"/>
      <c r="H11" s="7" t="inlineStr"/>
      <c r="I11" s="7" t="inlineStr"/>
      <c r="J11" s="7" t="inlineStr"/>
      <c r="K11" s="7" t="inlineStr">
        <is>
          <t>Not started</t>
        </is>
      </c>
    </row>
    <row r="12">
      <c r="A12" s="7" t="inlineStr"/>
      <c r="B12" s="7" t="inlineStr">
        <is>
          <t>GOV-04</t>
        </is>
      </c>
      <c r="C12" s="7" t="inlineStr">
        <is>
          <t>Governance and risk management</t>
        </is>
      </c>
      <c r="D12" s="7">
        <f>'Control Matrix'!F12</f>
        <v/>
      </c>
      <c r="E12" s="7" t="inlineStr">
        <is>
          <t>Create a control exception and remediation process.</t>
        </is>
      </c>
      <c r="F12" s="7" t="inlineStr"/>
      <c r="G12" s="7" t="inlineStr"/>
      <c r="H12" s="7" t="inlineStr"/>
      <c r="I12" s="7" t="inlineStr"/>
      <c r="J12" s="7" t="inlineStr"/>
      <c r="K12" s="7" t="inlineStr">
        <is>
          <t>Not started</t>
        </is>
      </c>
    </row>
    <row r="13">
      <c r="A13" s="7" t="inlineStr"/>
      <c r="B13" s="7" t="inlineStr">
        <is>
          <t>ACC-01</t>
        </is>
      </c>
      <c r="C13" s="7" t="inlineStr">
        <is>
          <t>Logical and physical access</t>
        </is>
      </c>
      <c r="D13" s="7">
        <f>'Control Matrix'!F13</f>
        <v/>
      </c>
      <c r="E13" s="7" t="inlineStr">
        <is>
          <t>Implement a traceable joiner, mover, and leaver process.</t>
        </is>
      </c>
      <c r="F13" s="7" t="inlineStr"/>
      <c r="G13" s="7" t="inlineStr"/>
      <c r="H13" s="7" t="inlineStr"/>
      <c r="I13" s="7" t="inlineStr"/>
      <c r="J13" s="7" t="inlineStr"/>
      <c r="K13" s="7" t="inlineStr">
        <is>
          <t>Not started</t>
        </is>
      </c>
    </row>
    <row r="14">
      <c r="A14" s="7" t="inlineStr"/>
      <c r="B14" s="7" t="inlineStr">
        <is>
          <t>ACC-02</t>
        </is>
      </c>
      <c r="C14" s="7" t="inlineStr">
        <is>
          <t>Logical and physical access</t>
        </is>
      </c>
      <c r="D14" s="7">
        <f>'Control Matrix'!F14</f>
        <v/>
      </c>
      <c r="E14" s="7" t="inlineStr">
        <is>
          <t>Close MFA coverage gaps and document exceptions.</t>
        </is>
      </c>
      <c r="F14" s="7" t="inlineStr"/>
      <c r="G14" s="7" t="inlineStr"/>
      <c r="H14" s="7" t="inlineStr"/>
      <c r="I14" s="7" t="inlineStr"/>
      <c r="J14" s="7" t="inlineStr"/>
      <c r="K14" s="7" t="inlineStr">
        <is>
          <t>Not started</t>
        </is>
      </c>
    </row>
    <row r="15">
      <c r="A15" s="7" t="inlineStr"/>
      <c r="B15" s="7" t="inlineStr">
        <is>
          <t>ACC-03</t>
        </is>
      </c>
      <c r="C15" s="7" t="inlineStr">
        <is>
          <t>Logical and physical access</t>
        </is>
      </c>
      <c r="D15" s="7">
        <f>'Control Matrix'!F15</f>
        <v/>
      </c>
      <c r="E15" s="7" t="inlineStr">
        <is>
          <t>Inventory and review all privileged access.</t>
        </is>
      </c>
      <c r="F15" s="7" t="inlineStr"/>
      <c r="G15" s="7" t="inlineStr"/>
      <c r="H15" s="7" t="inlineStr"/>
      <c r="I15" s="7" t="inlineStr"/>
      <c r="J15" s="7" t="inlineStr"/>
      <c r="K15" s="7" t="inlineStr">
        <is>
          <t>Not started</t>
        </is>
      </c>
    </row>
    <row r="16">
      <c r="A16" s="7" t="inlineStr"/>
      <c r="B16" s="7" t="inlineStr">
        <is>
          <t>ACC-04</t>
        </is>
      </c>
      <c r="C16" s="7" t="inlineStr">
        <is>
          <t>Logical and physical access</t>
        </is>
      </c>
      <c r="D16" s="7">
        <f>'Control Matrix'!F16</f>
        <v/>
      </c>
      <c r="E16" s="7" t="inlineStr">
        <is>
          <t>Run an access review and retain removal proof.</t>
        </is>
      </c>
      <c r="F16" s="7" t="inlineStr"/>
      <c r="G16" s="7" t="inlineStr"/>
      <c r="H16" s="7" t="inlineStr"/>
      <c r="I16" s="7" t="inlineStr"/>
      <c r="J16" s="7" t="inlineStr"/>
      <c r="K16" s="7" t="inlineStr">
        <is>
          <t>Not started</t>
        </is>
      </c>
    </row>
    <row r="17">
      <c r="A17" s="7" t="inlineStr"/>
      <c r="B17" s="7" t="inlineStr">
        <is>
          <t>CHG-01</t>
        </is>
      </c>
      <c r="C17" s="7" t="inlineStr">
        <is>
          <t>Change management and development</t>
        </is>
      </c>
      <c r="D17" s="7">
        <f>'Control Matrix'!F17</f>
        <v/>
      </c>
      <c r="E17" s="7" t="inlineStr">
        <is>
          <t>Enforce review and approval for production changes.</t>
        </is>
      </c>
      <c r="F17" s="7" t="inlineStr"/>
      <c r="G17" s="7" t="inlineStr"/>
      <c r="H17" s="7" t="inlineStr"/>
      <c r="I17" s="7" t="inlineStr"/>
      <c r="J17" s="7" t="inlineStr"/>
      <c r="K17" s="7" t="inlineStr">
        <is>
          <t>Not started</t>
        </is>
      </c>
    </row>
    <row r="18">
      <c r="A18" s="7" t="inlineStr"/>
      <c r="B18" s="7" t="inlineStr">
        <is>
          <t>CHG-02</t>
        </is>
      </c>
      <c r="C18" s="7" t="inlineStr">
        <is>
          <t>Change management and development</t>
        </is>
      </c>
      <c r="D18" s="7">
        <f>'Control Matrix'!F18</f>
        <v/>
      </c>
      <c r="E18" s="7" t="inlineStr">
        <is>
          <t>Define separation of duties or a compensating review.</t>
        </is>
      </c>
      <c r="F18" s="7" t="inlineStr"/>
      <c r="G18" s="7" t="inlineStr"/>
      <c r="H18" s="7" t="inlineStr"/>
      <c r="I18" s="7" t="inlineStr"/>
      <c r="J18" s="7" t="inlineStr"/>
      <c r="K18" s="7" t="inlineStr">
        <is>
          <t>Not started</t>
        </is>
      </c>
    </row>
    <row r="19">
      <c r="A19" s="7" t="inlineStr"/>
      <c r="B19" s="7" t="inlineStr">
        <is>
          <t>CHG-03</t>
        </is>
      </c>
      <c r="C19" s="7" t="inlineStr">
        <is>
          <t>Change management and development</t>
        </is>
      </c>
      <c r="D19" s="7">
        <f>'Control Matrix'!F19</f>
        <v/>
      </c>
      <c r="E19" s="7" t="inlineStr">
        <is>
          <t>Add repeatable security checks to delivery.</t>
        </is>
      </c>
      <c r="F19" s="7" t="inlineStr"/>
      <c r="G19" s="7" t="inlineStr"/>
      <c r="H19" s="7" t="inlineStr"/>
      <c r="I19" s="7" t="inlineStr"/>
      <c r="J19" s="7" t="inlineStr"/>
      <c r="K19" s="7" t="inlineStr">
        <is>
          <t>Not started</t>
        </is>
      </c>
    </row>
    <row r="20">
      <c r="A20" s="7" t="inlineStr"/>
      <c r="B20" s="7" t="inlineStr">
        <is>
          <t>CHG-04</t>
        </is>
      </c>
      <c r="C20" s="7" t="inlineStr">
        <is>
          <t>Change management and development</t>
        </is>
      </c>
      <c r="D20" s="7">
        <f>'Control Matrix'!F20</f>
        <v/>
      </c>
      <c r="E20" s="7" t="inlineStr">
        <is>
          <t>Create and test an emergency change path.</t>
        </is>
      </c>
      <c r="F20" s="7" t="inlineStr"/>
      <c r="G20" s="7" t="inlineStr"/>
      <c r="H20" s="7" t="inlineStr"/>
      <c r="I20" s="7" t="inlineStr"/>
      <c r="J20" s="7" t="inlineStr"/>
      <c r="K20" s="7" t="inlineStr">
        <is>
          <t>Not started</t>
        </is>
      </c>
    </row>
    <row r="21">
      <c r="A21" s="7" t="inlineStr"/>
      <c r="B21" s="7" t="inlineStr">
        <is>
          <t>OPS-01</t>
        </is>
      </c>
      <c r="C21" s="7" t="inlineStr">
        <is>
          <t>Security operations</t>
        </is>
      </c>
      <c r="D21" s="7">
        <f>'Control Matrix'!F21</f>
        <v/>
      </c>
      <c r="E21" s="7" t="inlineStr">
        <is>
          <t>Build an inventory with business and technical owners.</t>
        </is>
      </c>
      <c r="F21" s="7" t="inlineStr"/>
      <c r="G21" s="7" t="inlineStr"/>
      <c r="H21" s="7" t="inlineStr"/>
      <c r="I21" s="7" t="inlineStr"/>
      <c r="J21" s="7" t="inlineStr"/>
      <c r="K21" s="7" t="inlineStr">
        <is>
          <t>Not started</t>
        </is>
      </c>
    </row>
    <row r="22">
      <c r="A22" s="7" t="inlineStr"/>
      <c r="B22" s="7" t="inlineStr">
        <is>
          <t>OPS-02</t>
        </is>
      </c>
      <c r="C22" s="7" t="inlineStr">
        <is>
          <t>Security operations</t>
        </is>
      </c>
      <c r="D22" s="7">
        <f>'Control Matrix'!F22</f>
        <v/>
      </c>
      <c r="E22" s="7" t="inlineStr">
        <is>
          <t>Set remediation targets and retain closure evidence.</t>
        </is>
      </c>
      <c r="F22" s="7" t="inlineStr"/>
      <c r="G22" s="7" t="inlineStr"/>
      <c r="H22" s="7" t="inlineStr"/>
      <c r="I22" s="7" t="inlineStr"/>
      <c r="J22" s="7" t="inlineStr"/>
      <c r="K22" s="7" t="inlineStr">
        <is>
          <t>Not started</t>
        </is>
      </c>
    </row>
    <row r="23">
      <c r="A23" s="7" t="inlineStr"/>
      <c r="B23" s="7" t="inlineStr">
        <is>
          <t>OPS-03</t>
        </is>
      </c>
      <c r="C23" s="7" t="inlineStr">
        <is>
          <t>Security operations</t>
        </is>
      </c>
      <c r="D23" s="7">
        <f>'Control Matrix'!F23</f>
        <v/>
      </c>
      <c r="E23" s="7" t="inlineStr">
        <is>
          <t>Define logging coverage and demonstrate alert response.</t>
        </is>
      </c>
      <c r="F23" s="7" t="inlineStr"/>
      <c r="G23" s="7" t="inlineStr"/>
      <c r="H23" s="7" t="inlineStr"/>
      <c r="I23" s="7" t="inlineStr"/>
      <c r="J23" s="7" t="inlineStr"/>
      <c r="K23" s="7" t="inlineStr">
        <is>
          <t>Not started</t>
        </is>
      </c>
    </row>
    <row r="24">
      <c r="A24" s="7" t="inlineStr"/>
      <c r="B24" s="7" t="inlineStr">
        <is>
          <t>OPS-04</t>
        </is>
      </c>
      <c r="C24" s="7" t="inlineStr">
        <is>
          <t>Security operations</t>
        </is>
      </c>
      <c r="D24" s="7">
        <f>'Control Matrix'!F24</f>
        <v/>
      </c>
      <c r="E24" s="7" t="inlineStr">
        <is>
          <t>Measure endpoint and workload protection coverage.</t>
        </is>
      </c>
      <c r="F24" s="7" t="inlineStr"/>
      <c r="G24" s="7" t="inlineStr"/>
      <c r="H24" s="7" t="inlineStr"/>
      <c r="I24" s="7" t="inlineStr"/>
      <c r="J24" s="7" t="inlineStr"/>
      <c r="K24" s="7" t="inlineStr">
        <is>
          <t>Not started</t>
        </is>
      </c>
    </row>
    <row r="25">
      <c r="A25" s="7" t="inlineStr"/>
      <c r="B25" s="7" t="inlineStr">
        <is>
          <t>IR-01</t>
        </is>
      </c>
      <c r="C25" s="7" t="inlineStr">
        <is>
          <t>Incident response and resilience</t>
        </is>
      </c>
      <c r="D25" s="7">
        <f>'Control Matrix'!F25</f>
        <v/>
      </c>
      <c r="E25" s="7" t="inlineStr">
        <is>
          <t>Approve an incident response plan and contact matrix.</t>
        </is>
      </c>
      <c r="F25" s="7" t="inlineStr"/>
      <c r="G25" s="7" t="inlineStr"/>
      <c r="H25" s="7" t="inlineStr"/>
      <c r="I25" s="7" t="inlineStr"/>
      <c r="J25" s="7" t="inlineStr"/>
      <c r="K25" s="7" t="inlineStr">
        <is>
          <t>Not started</t>
        </is>
      </c>
    </row>
    <row r="26">
      <c r="A26" s="7" t="inlineStr"/>
      <c r="B26" s="7" t="inlineStr">
        <is>
          <t>IR-02</t>
        </is>
      </c>
      <c r="C26" s="7" t="inlineStr">
        <is>
          <t>Incident response and resilience</t>
        </is>
      </c>
      <c r="D26" s="7">
        <f>'Control Matrix'!F26</f>
        <v/>
      </c>
      <c r="E26" s="7" t="inlineStr">
        <is>
          <t>Run a tabletop exercise and close the findings.</t>
        </is>
      </c>
      <c r="F26" s="7" t="inlineStr"/>
      <c r="G26" s="7" t="inlineStr"/>
      <c r="H26" s="7" t="inlineStr"/>
      <c r="I26" s="7" t="inlineStr"/>
      <c r="J26" s="7" t="inlineStr"/>
      <c r="K26" s="7" t="inlineStr">
        <is>
          <t>Not started</t>
        </is>
      </c>
    </row>
    <row r="27">
      <c r="A27" s="7" t="inlineStr"/>
      <c r="B27" s="7" t="inlineStr">
        <is>
          <t>IR-03</t>
        </is>
      </c>
      <c r="C27" s="7" t="inlineStr">
        <is>
          <t>Incident response and resilience</t>
        </is>
      </c>
      <c r="D27" s="7">
        <f>'Control Matrix'!F27</f>
        <v/>
      </c>
      <c r="E27" s="7" t="inlineStr">
        <is>
          <t>Test restoration and record results.</t>
        </is>
      </c>
      <c r="F27" s="7" t="inlineStr"/>
      <c r="G27" s="7" t="inlineStr"/>
      <c r="H27" s="7" t="inlineStr"/>
      <c r="I27" s="7" t="inlineStr"/>
      <c r="J27" s="7" t="inlineStr"/>
      <c r="K27" s="7" t="inlineStr">
        <is>
          <t>Not started</t>
        </is>
      </c>
    </row>
    <row r="28">
      <c r="A28" s="7" t="inlineStr"/>
      <c r="B28" s="7" t="inlineStr">
        <is>
          <t>IR-04</t>
        </is>
      </c>
      <c r="C28" s="7" t="inlineStr">
        <is>
          <t>Incident response and resilience</t>
        </is>
      </c>
      <c r="D28" s="7">
        <f>'Control Matrix'!F28</f>
        <v/>
      </c>
      <c r="E28" s="7" t="inlineStr">
        <is>
          <t>Define recovery objectives and test recovery.</t>
        </is>
      </c>
      <c r="F28" s="7" t="inlineStr"/>
      <c r="G28" s="7" t="inlineStr"/>
      <c r="H28" s="7" t="inlineStr"/>
      <c r="I28" s="7" t="inlineStr"/>
      <c r="J28" s="7" t="inlineStr"/>
      <c r="K28" s="7" t="inlineStr">
        <is>
          <t>Not started</t>
        </is>
      </c>
    </row>
    <row r="29">
      <c r="A29" s="7" t="inlineStr"/>
      <c r="B29" s="7" t="inlineStr">
        <is>
          <t>VEN-01</t>
        </is>
      </c>
      <c r="C29" s="7" t="inlineStr">
        <is>
          <t>Vendor and subservice management</t>
        </is>
      </c>
      <c r="D29" s="7">
        <f>'Control Matrix'!F29</f>
        <v/>
      </c>
      <c r="E29" s="7" t="inlineStr">
        <is>
          <t>Create a risk-tiered vendor inventory.</t>
        </is>
      </c>
      <c r="F29" s="7" t="inlineStr"/>
      <c r="G29" s="7" t="inlineStr"/>
      <c r="H29" s="7" t="inlineStr"/>
      <c r="I29" s="7" t="inlineStr"/>
      <c r="J29" s="7" t="inlineStr"/>
      <c r="K29" s="7" t="inlineStr">
        <is>
          <t>Not started</t>
        </is>
      </c>
    </row>
    <row r="30">
      <c r="A30" s="7" t="inlineStr"/>
      <c r="B30" s="7" t="inlineStr">
        <is>
          <t>VEN-02</t>
        </is>
      </c>
      <c r="C30" s="7" t="inlineStr">
        <is>
          <t>Vendor and subservice management</t>
        </is>
      </c>
      <c r="D30" s="7">
        <f>'Control Matrix'!F30</f>
        <v/>
      </c>
      <c r="E30" s="7" t="inlineStr">
        <is>
          <t>Review material vendors and track findings.</t>
        </is>
      </c>
      <c r="F30" s="7" t="inlineStr"/>
      <c r="G30" s="7" t="inlineStr"/>
      <c r="H30" s="7" t="inlineStr"/>
      <c r="I30" s="7" t="inlineStr"/>
      <c r="J30" s="7" t="inlineStr"/>
      <c r="K30" s="7" t="inlineStr">
        <is>
          <t>Not started</t>
        </is>
      </c>
    </row>
    <row r="31">
      <c r="A31" s="7" t="inlineStr"/>
      <c r="B31" s="7" t="inlineStr">
        <is>
          <t>VEN-03</t>
        </is>
      </c>
      <c r="C31" s="7" t="inlineStr">
        <is>
          <t>Vendor and subservice management</t>
        </is>
      </c>
      <c r="D31" s="7">
        <f>'Control Matrix'!F31</f>
        <v/>
      </c>
      <c r="E31" s="7" t="inlineStr">
        <is>
          <t>Review material vendor security terms.</t>
        </is>
      </c>
      <c r="F31" s="7" t="inlineStr"/>
      <c r="G31" s="7" t="inlineStr"/>
      <c r="H31" s="7" t="inlineStr"/>
      <c r="I31" s="7" t="inlineStr"/>
      <c r="J31" s="7" t="inlineStr"/>
      <c r="K31" s="7" t="inlineStr">
        <is>
          <t>Not started</t>
        </is>
      </c>
    </row>
    <row r="32">
      <c r="A32" s="7" t="inlineStr"/>
      <c r="B32" s="7" t="inlineStr">
        <is>
          <t>VEN-04</t>
        </is>
      </c>
      <c r="C32" s="7" t="inlineStr">
        <is>
          <t>Vendor and subservice management</t>
        </is>
      </c>
      <c r="D32" s="7">
        <f>'Control Matrix'!F32</f>
        <v/>
      </c>
      <c r="E32" s="7" t="inlineStr">
        <is>
          <t>Review vendor reports and assign complementary controls.</t>
        </is>
      </c>
      <c r="F32" s="7" t="inlineStr"/>
      <c r="G32" s="7" t="inlineStr"/>
      <c r="H32" s="7" t="inlineStr"/>
      <c r="I32" s="7" t="inlineStr"/>
      <c r="J32" s="7" t="inlineStr"/>
      <c r="K32" s="7" t="inlineStr">
        <is>
          <t>Not started</t>
        </is>
      </c>
    </row>
    <row r="33">
      <c r="A33" s="7" t="inlineStr"/>
      <c r="B33" s="7" t="inlineStr">
        <is>
          <t>T2-01</t>
        </is>
      </c>
      <c r="C33" s="7" t="inlineStr">
        <is>
          <t>Type II operating evidence</t>
        </is>
      </c>
      <c r="D33" s="7">
        <f>'Control Matrix'!F33</f>
        <v/>
      </c>
      <c r="E33" s="7" t="inlineStr">
        <is>
          <t>Build and approve the control matrix.</t>
        </is>
      </c>
      <c r="F33" s="7" t="inlineStr"/>
      <c r="G33" s="7" t="inlineStr"/>
      <c r="H33" s="7" t="inlineStr"/>
      <c r="I33" s="7" t="inlineStr"/>
      <c r="J33" s="7" t="inlineStr"/>
      <c r="K33" s="7" t="inlineStr">
        <is>
          <t>Not started</t>
        </is>
      </c>
    </row>
    <row r="34">
      <c r="A34" s="7" t="inlineStr"/>
      <c r="B34" s="7" t="inlineStr">
        <is>
          <t>T2-02</t>
        </is>
      </c>
      <c r="C34" s="7" t="inlineStr">
        <is>
          <t>Type II operating evidence</t>
        </is>
      </c>
      <c r="D34" s="7">
        <f>'Control Matrix'!F34</f>
        <v/>
      </c>
      <c r="E34" s="7" t="inlineStr">
        <is>
          <t>Run controls on schedule and track exceptions.</t>
        </is>
      </c>
      <c r="F34" s="7" t="inlineStr"/>
      <c r="G34" s="7" t="inlineStr"/>
      <c r="H34" s="7" t="inlineStr"/>
      <c r="I34" s="7" t="inlineStr"/>
      <c r="J34" s="7" t="inlineStr"/>
      <c r="K34" s="7" t="inlineStr">
        <is>
          <t>Not started</t>
        </is>
      </c>
    </row>
    <row r="35">
      <c r="A35" s="7" t="inlineStr"/>
      <c r="B35" s="7" t="inlineStr">
        <is>
          <t>T2-03</t>
        </is>
      </c>
      <c r="C35" s="7" t="inlineStr">
        <is>
          <t>Type II operating evidence</t>
        </is>
      </c>
      <c r="D35" s="7">
        <f>'Control Matrix'!F35</f>
        <v/>
      </c>
      <c r="E35" s="7" t="inlineStr">
        <is>
          <t>Collect representative evidence with context.</t>
        </is>
      </c>
      <c r="F35" s="7" t="inlineStr"/>
      <c r="G35" s="7" t="inlineStr"/>
      <c r="H35" s="7" t="inlineStr"/>
      <c r="I35" s="7" t="inlineStr"/>
      <c r="J35" s="7" t="inlineStr"/>
      <c r="K35" s="7" t="inlineStr">
        <is>
          <t>Not started</t>
        </is>
      </c>
    </row>
    <row r="36">
      <c r="A36" s="7" t="inlineStr"/>
      <c r="B36" s="7" t="inlineStr">
        <is>
          <t>T2-04</t>
        </is>
      </c>
      <c r="C36" s="7" t="inlineStr">
        <is>
          <t>Type II operating evidence</t>
        </is>
      </c>
      <c r="D36" s="7">
        <f>'Control Matrix'!F36</f>
        <v/>
      </c>
      <c r="E36" s="7" t="inlineStr">
        <is>
          <t>Validate complete populations before fieldwork.</t>
        </is>
      </c>
      <c r="F36" s="7" t="inlineStr"/>
      <c r="G36" s="7" t="inlineStr"/>
      <c r="H36" s="7" t="inlineStr"/>
      <c r="I36" s="7" t="inlineStr"/>
      <c r="J36" s="7" t="inlineStr"/>
      <c r="K36" s="7" t="inlineStr">
        <is>
          <t>Not started</t>
        </is>
      </c>
    </row>
    <row r="37">
      <c r="A37" s="7" t="inlineStr"/>
      <c r="B37" s="7" t="inlineStr">
        <is>
          <t>T2-05</t>
        </is>
      </c>
      <c r="C37" s="7" t="inlineStr">
        <is>
          <t>Type II operating evidence</t>
        </is>
      </c>
      <c r="D37" s="7">
        <f>'Control Matrix'!F37</f>
        <v/>
      </c>
      <c r="E37" s="7" t="inlineStr">
        <is>
          <t>Document and close control exceptions.</t>
        </is>
      </c>
      <c r="F37" s="7" t="inlineStr"/>
      <c r="G37" s="7" t="inlineStr"/>
      <c r="H37" s="7" t="inlineStr"/>
      <c r="I37" s="7" t="inlineStr"/>
      <c r="J37" s="7" t="inlineStr"/>
      <c r="K37" s="7" t="inlineStr">
        <is>
          <t>Not started</t>
        </is>
      </c>
    </row>
    <row r="38">
      <c r="A38" s="7" t="inlineStr"/>
      <c r="B38" s="7" t="inlineStr">
        <is>
          <t>T2-06</t>
        </is>
      </c>
      <c r="C38" s="7" t="inlineStr">
        <is>
          <t>Type II operating evidence</t>
        </is>
      </c>
      <c r="D38" s="7">
        <f>'Control Matrix'!F38</f>
        <v/>
      </c>
      <c r="E38" s="7" t="inlineStr">
        <is>
          <t>Hold a readiness review and record decisions.</t>
        </is>
      </c>
      <c r="F38" s="7" t="inlineStr"/>
      <c r="G38" s="7" t="inlineStr"/>
      <c r="H38" s="7" t="inlineStr"/>
      <c r="I38" s="7" t="inlineStr"/>
      <c r="J38" s="7" t="inlineStr"/>
      <c r="K38" s="7" t="inlineStr">
        <is>
          <t>Not started</t>
        </is>
      </c>
    </row>
    <row r="39">
      <c r="A39" s="7" t="inlineStr"/>
      <c r="B39" s="7" t="inlineStr">
        <is>
          <t>A1.1</t>
        </is>
      </c>
      <c r="C39" s="7" t="inlineStr">
        <is>
          <t>Availability</t>
        </is>
      </c>
      <c r="D39" s="7">
        <f>'Control Matrix'!F39</f>
        <v/>
      </c>
      <c r="E39" s="7" t="inlineStr">
        <is>
          <t>Define availability objectives and operate capacity monitoring.</t>
        </is>
      </c>
      <c r="F39" s="7" t="inlineStr"/>
      <c r="G39" s="7" t="inlineStr"/>
      <c r="H39" s="7" t="inlineStr"/>
      <c r="I39" s="7" t="inlineStr"/>
      <c r="J39" s="7" t="inlineStr"/>
      <c r="K39" s="7" t="inlineStr">
        <is>
          <t>Not started</t>
        </is>
      </c>
    </row>
    <row r="40">
      <c r="A40" s="7" t="inlineStr"/>
      <c r="B40" s="7" t="inlineStr">
        <is>
          <t>A1.2</t>
        </is>
      </c>
      <c r="C40" s="7" t="inlineStr">
        <is>
          <t>Availability</t>
        </is>
      </c>
      <c r="D40" s="7">
        <f>'Control Matrix'!F40</f>
        <v/>
      </c>
      <c r="E40" s="7" t="inlineStr">
        <is>
          <t>Implement and evidence recovery and resilience safeguards.</t>
        </is>
      </c>
      <c r="F40" s="7" t="inlineStr"/>
      <c r="G40" s="7" t="inlineStr"/>
      <c r="H40" s="7" t="inlineStr"/>
      <c r="I40" s="7" t="inlineStr"/>
      <c r="J40" s="7" t="inlineStr"/>
      <c r="K40" s="7" t="inlineStr">
        <is>
          <t>Not started</t>
        </is>
      </c>
    </row>
    <row r="41">
      <c r="A41" s="7" t="inlineStr"/>
      <c r="B41" s="7" t="inlineStr">
        <is>
          <t>A1.3</t>
        </is>
      </c>
      <c r="C41" s="7" t="inlineStr">
        <is>
          <t>Availability</t>
        </is>
      </c>
      <c r="D41" s="7">
        <f>'Control Matrix'!F41</f>
        <v/>
      </c>
      <c r="E41" s="7" t="inlineStr">
        <is>
          <t>Test recovery procedures and close the findings.</t>
        </is>
      </c>
      <c r="F41" s="7" t="inlineStr"/>
      <c r="G41" s="7" t="inlineStr"/>
      <c r="H41" s="7" t="inlineStr"/>
      <c r="I41" s="7" t="inlineStr"/>
      <c r="J41" s="7" t="inlineStr"/>
      <c r="K41" s="7" t="inlineStr">
        <is>
          <t>Not started</t>
        </is>
      </c>
    </row>
    <row r="42">
      <c r="A42" s="7" t="inlineStr"/>
      <c r="B42" s="7" t="inlineStr">
        <is>
          <t>C1.1</t>
        </is>
      </c>
      <c r="C42" s="7" t="inlineStr">
        <is>
          <t>Confidentiality</t>
        </is>
      </c>
      <c r="D42" s="7">
        <f>'Control Matrix'!F42</f>
        <v/>
      </c>
      <c r="E42" s="7" t="inlineStr">
        <is>
          <t>Classify confidential information and enforce lifecycle controls.</t>
        </is>
      </c>
      <c r="F42" s="7" t="inlineStr"/>
      <c r="G42" s="7" t="inlineStr"/>
      <c r="H42" s="7" t="inlineStr"/>
      <c r="I42" s="7" t="inlineStr"/>
      <c r="J42" s="7" t="inlineStr"/>
      <c r="K42" s="7" t="inlineStr">
        <is>
          <t>Not started</t>
        </is>
      </c>
    </row>
    <row r="43">
      <c r="A43" s="7" t="inlineStr"/>
      <c r="B43" s="7" t="inlineStr">
        <is>
          <t>C1.2</t>
        </is>
      </c>
      <c r="C43" s="7" t="inlineStr">
        <is>
          <t>Confidentiality</t>
        </is>
      </c>
      <c r="D43" s="7">
        <f>'Control Matrix'!F43</f>
        <v/>
      </c>
      <c r="E43" s="7" t="inlineStr">
        <is>
          <t>Implement and evidence secure disposal.</t>
        </is>
      </c>
      <c r="F43" s="7" t="inlineStr"/>
      <c r="G43" s="7" t="inlineStr"/>
      <c r="H43" s="7" t="inlineStr"/>
      <c r="I43" s="7" t="inlineStr"/>
      <c r="J43" s="7" t="inlineStr"/>
      <c r="K43" s="7" t="inlineStr">
        <is>
          <t>Not started</t>
        </is>
      </c>
    </row>
    <row r="44">
      <c r="A44" s="7" t="inlineStr"/>
      <c r="B44" s="7" t="inlineStr">
        <is>
          <t>PI1.1</t>
        </is>
      </c>
      <c r="C44" s="7" t="inlineStr">
        <is>
          <t>Processing Integrity</t>
        </is>
      </c>
      <c r="D44" s="7">
        <f>'Control Matrix'!F44</f>
        <v/>
      </c>
      <c r="E44" s="7" t="inlineStr">
        <is>
          <t>Define processing objectives and quality measures.</t>
        </is>
      </c>
      <c r="F44" s="7" t="inlineStr"/>
      <c r="G44" s="7" t="inlineStr"/>
      <c r="H44" s="7" t="inlineStr"/>
      <c r="I44" s="7" t="inlineStr"/>
      <c r="J44" s="7" t="inlineStr"/>
      <c r="K44" s="7" t="inlineStr">
        <is>
          <t>Not started</t>
        </is>
      </c>
    </row>
    <row r="45">
      <c r="A45" s="7" t="inlineStr"/>
      <c r="B45" s="7" t="inlineStr">
        <is>
          <t>PI1.2</t>
        </is>
      </c>
      <c r="C45" s="7" t="inlineStr">
        <is>
          <t>Processing Integrity</t>
        </is>
      </c>
      <c r="D45" s="7">
        <f>'Control Matrix'!F45</f>
        <v/>
      </c>
      <c r="E45" s="7" t="inlineStr">
        <is>
          <t>Implement and test input controls.</t>
        </is>
      </c>
      <c r="F45" s="7" t="inlineStr"/>
      <c r="G45" s="7" t="inlineStr"/>
      <c r="H45" s="7" t="inlineStr"/>
      <c r="I45" s="7" t="inlineStr"/>
      <c r="J45" s="7" t="inlineStr"/>
      <c r="K45" s="7" t="inlineStr">
        <is>
          <t>Not started</t>
        </is>
      </c>
    </row>
    <row r="46">
      <c r="A46" s="7" t="inlineStr"/>
      <c r="B46" s="7" t="inlineStr">
        <is>
          <t>PI1.3</t>
        </is>
      </c>
      <c r="C46" s="7" t="inlineStr">
        <is>
          <t>Processing Integrity</t>
        </is>
      </c>
      <c r="D46" s="7">
        <f>'Control Matrix'!F46</f>
        <v/>
      </c>
      <c r="E46" s="7" t="inlineStr">
        <is>
          <t>Implement and evidence processing controls.</t>
        </is>
      </c>
      <c r="F46" s="7" t="inlineStr"/>
      <c r="G46" s="7" t="inlineStr"/>
      <c r="H46" s="7" t="inlineStr"/>
      <c r="I46" s="7" t="inlineStr"/>
      <c r="J46" s="7" t="inlineStr"/>
      <c r="K46" s="7" t="inlineStr">
        <is>
          <t>Not started</t>
        </is>
      </c>
    </row>
    <row r="47">
      <c r="A47" s="7" t="inlineStr"/>
      <c r="B47" s="7" t="inlineStr">
        <is>
          <t>PI1.4</t>
        </is>
      </c>
      <c r="C47" s="7" t="inlineStr">
        <is>
          <t>Processing Integrity</t>
        </is>
      </c>
      <c r="D47" s="7">
        <f>'Control Matrix'!F47</f>
        <v/>
      </c>
      <c r="E47" s="7" t="inlineStr">
        <is>
          <t>Implement and test output controls.</t>
        </is>
      </c>
      <c r="F47" s="7" t="inlineStr"/>
      <c r="G47" s="7" t="inlineStr"/>
      <c r="H47" s="7" t="inlineStr"/>
      <c r="I47" s="7" t="inlineStr"/>
      <c r="J47" s="7" t="inlineStr"/>
      <c r="K47" s="7" t="inlineStr">
        <is>
          <t>Not started</t>
        </is>
      </c>
    </row>
    <row r="48">
      <c r="A48" s="7" t="inlineStr"/>
      <c r="B48" s="7" t="inlineStr">
        <is>
          <t>PI1.5</t>
        </is>
      </c>
      <c r="C48" s="7" t="inlineStr">
        <is>
          <t>Processing Integrity</t>
        </is>
      </c>
      <c r="D48" s="7">
        <f>'Control Matrix'!F48</f>
        <v/>
      </c>
      <c r="E48" s="7" t="inlineStr">
        <is>
          <t>Protect and reconcile stored processing records.</t>
        </is>
      </c>
      <c r="F48" s="7" t="inlineStr"/>
      <c r="G48" s="7" t="inlineStr"/>
      <c r="H48" s="7" t="inlineStr"/>
      <c r="I48" s="7" t="inlineStr"/>
      <c r="J48" s="7" t="inlineStr"/>
      <c r="K48" s="7" t="inlineStr">
        <is>
          <t>Not started</t>
        </is>
      </c>
    </row>
    <row r="49">
      <c r="A49" s="7" t="inlineStr"/>
      <c r="B49" s="7" t="inlineStr">
        <is>
          <t>P1.1</t>
        </is>
      </c>
      <c r="C49" s="7" t="inlineStr">
        <is>
          <t>Privacy</t>
        </is>
      </c>
      <c r="D49" s="7">
        <f>'Control Matrix'!F49</f>
        <v/>
      </c>
      <c r="E49" s="7" t="inlineStr">
        <is>
          <t>Publish and maintain an accurate privacy notice.</t>
        </is>
      </c>
      <c r="F49" s="7" t="inlineStr"/>
      <c r="G49" s="7" t="inlineStr"/>
      <c r="H49" s="7" t="inlineStr"/>
      <c r="I49" s="7" t="inlineStr"/>
      <c r="J49" s="7" t="inlineStr"/>
      <c r="K49" s="7" t="inlineStr">
        <is>
          <t>Not started</t>
        </is>
      </c>
    </row>
    <row r="50">
      <c r="A50" s="7" t="inlineStr"/>
      <c r="B50" s="7" t="inlineStr">
        <is>
          <t>P2.1</t>
        </is>
      </c>
      <c r="C50" s="7" t="inlineStr">
        <is>
          <t>Privacy</t>
        </is>
      </c>
      <c r="D50" s="7">
        <f>'Control Matrix'!F50</f>
        <v/>
      </c>
      <c r="E50" s="7" t="inlineStr">
        <is>
          <t>Implement consent and preference management.</t>
        </is>
      </c>
      <c r="F50" s="7" t="inlineStr"/>
      <c r="G50" s="7" t="inlineStr"/>
      <c r="H50" s="7" t="inlineStr"/>
      <c r="I50" s="7" t="inlineStr"/>
      <c r="J50" s="7" t="inlineStr"/>
      <c r="K50" s="7" t="inlineStr">
        <is>
          <t>Not started</t>
        </is>
      </c>
    </row>
    <row r="51">
      <c r="A51" s="7" t="inlineStr"/>
      <c r="B51" s="7" t="inlineStr">
        <is>
          <t>P3.1</t>
        </is>
      </c>
      <c r="C51" s="7" t="inlineStr">
        <is>
          <t>Privacy</t>
        </is>
      </c>
      <c r="D51" s="7">
        <f>'Control Matrix'!F51</f>
        <v/>
      </c>
      <c r="E51" s="7" t="inlineStr">
        <is>
          <t>Map and minimize personal information collection.</t>
        </is>
      </c>
      <c r="F51" s="7" t="inlineStr"/>
      <c r="G51" s="7" t="inlineStr"/>
      <c r="H51" s="7" t="inlineStr"/>
      <c r="I51" s="7" t="inlineStr"/>
      <c r="J51" s="7" t="inlineStr"/>
      <c r="K51" s="7" t="inlineStr">
        <is>
          <t>Not started</t>
        </is>
      </c>
    </row>
    <row r="52">
      <c r="A52" s="7" t="inlineStr"/>
      <c r="B52" s="7" t="inlineStr">
        <is>
          <t>P3.2</t>
        </is>
      </c>
      <c r="C52" s="7" t="inlineStr">
        <is>
          <t>Privacy</t>
        </is>
      </c>
      <c r="D52" s="7">
        <f>'Control Matrix'!F52</f>
        <v/>
      </c>
      <c r="E52" s="7" t="inlineStr">
        <is>
          <t>Implement explicit consent for sensitive information.</t>
        </is>
      </c>
      <c r="F52" s="7" t="inlineStr"/>
      <c r="G52" s="7" t="inlineStr"/>
      <c r="H52" s="7" t="inlineStr"/>
      <c r="I52" s="7" t="inlineStr"/>
      <c r="J52" s="7" t="inlineStr"/>
      <c r="K52" s="7" t="inlineStr">
        <is>
          <t>Not started</t>
        </is>
      </c>
    </row>
    <row r="53">
      <c r="A53" s="7" t="inlineStr"/>
      <c r="B53" s="7" t="inlineStr">
        <is>
          <t>P4.1</t>
        </is>
      </c>
      <c r="C53" s="7" t="inlineStr">
        <is>
          <t>Privacy</t>
        </is>
      </c>
      <c r="D53" s="7">
        <f>'Control Matrix'!F53</f>
        <v/>
      </c>
      <c r="E53" s="7" t="inlineStr">
        <is>
          <t>Restrict and monitor personal information use.</t>
        </is>
      </c>
      <c r="F53" s="7" t="inlineStr"/>
      <c r="G53" s="7" t="inlineStr"/>
      <c r="H53" s="7" t="inlineStr"/>
      <c r="I53" s="7" t="inlineStr"/>
      <c r="J53" s="7" t="inlineStr"/>
      <c r="K53" s="7" t="inlineStr">
        <is>
          <t>Not started</t>
        </is>
      </c>
    </row>
    <row r="54">
      <c r="A54" s="7" t="inlineStr"/>
      <c r="B54" s="7" t="inlineStr">
        <is>
          <t>P4.2</t>
        </is>
      </c>
      <c r="C54" s="7" t="inlineStr">
        <is>
          <t>Privacy</t>
        </is>
      </c>
      <c r="D54" s="7">
        <f>'Control Matrix'!F54</f>
        <v/>
      </c>
      <c r="E54" s="7" t="inlineStr">
        <is>
          <t>Implement and evidence privacy retention rules.</t>
        </is>
      </c>
      <c r="F54" s="7" t="inlineStr"/>
      <c r="G54" s="7" t="inlineStr"/>
      <c r="H54" s="7" t="inlineStr"/>
      <c r="I54" s="7" t="inlineStr"/>
      <c r="J54" s="7" t="inlineStr"/>
      <c r="K54" s="7" t="inlineStr">
        <is>
          <t>Not started</t>
        </is>
      </c>
    </row>
    <row r="55">
      <c r="A55" s="7" t="inlineStr"/>
      <c r="B55" s="7" t="inlineStr">
        <is>
          <t>P4.3</t>
        </is>
      </c>
      <c r="C55" s="7" t="inlineStr">
        <is>
          <t>Privacy</t>
        </is>
      </c>
      <c r="D55" s="7">
        <f>'Control Matrix'!F55</f>
        <v/>
      </c>
      <c r="E55" s="7" t="inlineStr">
        <is>
          <t>Implement and verify personal information disposal.</t>
        </is>
      </c>
      <c r="F55" s="7" t="inlineStr"/>
      <c r="G55" s="7" t="inlineStr"/>
      <c r="H55" s="7" t="inlineStr"/>
      <c r="I55" s="7" t="inlineStr"/>
      <c r="J55" s="7" t="inlineStr"/>
      <c r="K55" s="7" t="inlineStr">
        <is>
          <t>Not started</t>
        </is>
      </c>
    </row>
    <row r="56">
      <c r="A56" s="7" t="inlineStr"/>
      <c r="B56" s="7" t="inlineStr">
        <is>
          <t>P5.1</t>
        </is>
      </c>
      <c r="C56" s="7" t="inlineStr">
        <is>
          <t>Privacy</t>
        </is>
      </c>
      <c r="D56" s="7">
        <f>'Control Matrix'!F56</f>
        <v/>
      </c>
      <c r="E56" s="7" t="inlineStr">
        <is>
          <t>Implement and test individual rights requests.</t>
        </is>
      </c>
      <c r="F56" s="7" t="inlineStr"/>
      <c r="G56" s="7" t="inlineStr"/>
      <c r="H56" s="7" t="inlineStr"/>
      <c r="I56" s="7" t="inlineStr"/>
      <c r="J56" s="7" t="inlineStr"/>
      <c r="K56" s="7" t="inlineStr">
        <is>
          <t>Not started</t>
        </is>
      </c>
    </row>
    <row r="57">
      <c r="A57" s="7" t="inlineStr"/>
      <c r="B57" s="7" t="inlineStr">
        <is>
          <t>P6.1</t>
        </is>
      </c>
      <c r="C57" s="7" t="inlineStr">
        <is>
          <t>Privacy</t>
        </is>
      </c>
      <c r="D57" s="7">
        <f>'Control Matrix'!F57</f>
        <v/>
      </c>
      <c r="E57" s="7" t="inlineStr">
        <is>
          <t>Authorize and record personal information disclosures.</t>
        </is>
      </c>
      <c r="F57" s="7" t="inlineStr"/>
      <c r="G57" s="7" t="inlineStr"/>
      <c r="H57" s="7" t="inlineStr"/>
      <c r="I57" s="7" t="inlineStr"/>
      <c r="J57" s="7" t="inlineStr"/>
      <c r="K57" s="7" t="inlineStr">
        <is>
          <t>Not started</t>
        </is>
      </c>
    </row>
    <row r="58">
      <c r="A58" s="7" t="inlineStr"/>
      <c r="B58" s="7" t="inlineStr">
        <is>
          <t>P6.2</t>
        </is>
      </c>
      <c r="C58" s="7" t="inlineStr">
        <is>
          <t>Privacy</t>
        </is>
      </c>
      <c r="D58" s="7">
        <f>'Control Matrix'!F58</f>
        <v/>
      </c>
      <c r="E58" s="7" t="inlineStr">
        <is>
          <t>Establish required third-party privacy terms.</t>
        </is>
      </c>
      <c r="F58" s="7" t="inlineStr"/>
      <c r="G58" s="7" t="inlineStr"/>
      <c r="H58" s="7" t="inlineStr"/>
      <c r="I58" s="7" t="inlineStr"/>
      <c r="J58" s="7" t="inlineStr"/>
      <c r="K58" s="7" t="inlineStr">
        <is>
          <t>Not started</t>
        </is>
      </c>
    </row>
    <row r="59">
      <c r="A59" s="7" t="inlineStr"/>
      <c r="B59" s="7" t="inlineStr">
        <is>
          <t>P6.3</t>
        </is>
      </c>
      <c r="C59" s="7" t="inlineStr">
        <is>
          <t>Privacy</t>
        </is>
      </c>
      <c r="D59" s="7">
        <f>'Control Matrix'!F59</f>
        <v/>
      </c>
      <c r="E59" s="7" t="inlineStr">
        <is>
          <t>Assess third parties before personal information disclosure.</t>
        </is>
      </c>
      <c r="F59" s="7" t="inlineStr"/>
      <c r="G59" s="7" t="inlineStr"/>
      <c r="H59" s="7" t="inlineStr"/>
      <c r="I59" s="7" t="inlineStr"/>
      <c r="J59" s="7" t="inlineStr"/>
      <c r="K59" s="7" t="inlineStr">
        <is>
          <t>Not started</t>
        </is>
      </c>
    </row>
    <row r="60">
      <c r="A60" s="7" t="inlineStr"/>
      <c r="B60" s="7" t="inlineStr">
        <is>
          <t>P6.4</t>
        </is>
      </c>
      <c r="C60" s="7" t="inlineStr">
        <is>
          <t>Privacy</t>
        </is>
      </c>
      <c r="D60" s="7">
        <f>'Control Matrix'!F60</f>
        <v/>
      </c>
      <c r="E60" s="7" t="inlineStr">
        <is>
          <t>Monitor third-party privacy performance.</t>
        </is>
      </c>
      <c r="F60" s="7" t="inlineStr"/>
      <c r="G60" s="7" t="inlineStr"/>
      <c r="H60" s="7" t="inlineStr"/>
      <c r="I60" s="7" t="inlineStr"/>
      <c r="J60" s="7" t="inlineStr"/>
      <c r="K60" s="7" t="inlineStr">
        <is>
          <t>Not started</t>
        </is>
      </c>
    </row>
    <row r="61">
      <c r="A61" s="7" t="inlineStr"/>
      <c r="B61" s="7" t="inlineStr">
        <is>
          <t>P6.5</t>
        </is>
      </c>
      <c r="C61" s="7" t="inlineStr">
        <is>
          <t>Privacy</t>
        </is>
      </c>
      <c r="D61" s="7">
        <f>'Control Matrix'!F61</f>
        <v/>
      </c>
      <c r="E61" s="7" t="inlineStr">
        <is>
          <t>Create and test third-party misuse response.</t>
        </is>
      </c>
      <c r="F61" s="7" t="inlineStr"/>
      <c r="G61" s="7" t="inlineStr"/>
      <c r="H61" s="7" t="inlineStr"/>
      <c r="I61" s="7" t="inlineStr"/>
      <c r="J61" s="7" t="inlineStr"/>
      <c r="K61" s="7" t="inlineStr">
        <is>
          <t>Not started</t>
        </is>
      </c>
    </row>
    <row r="62">
      <c r="A62" s="7" t="inlineStr"/>
      <c r="B62" s="7" t="inlineStr">
        <is>
          <t>P6.6</t>
        </is>
      </c>
      <c r="C62" s="7" t="inlineStr">
        <is>
          <t>Privacy</t>
        </is>
      </c>
      <c r="D62" s="7">
        <f>'Control Matrix'!F62</f>
        <v/>
      </c>
      <c r="E62" s="7" t="inlineStr">
        <is>
          <t>Implement privacy notification decision and delivery procedures.</t>
        </is>
      </c>
      <c r="F62" s="7" t="inlineStr"/>
      <c r="G62" s="7" t="inlineStr"/>
      <c r="H62" s="7" t="inlineStr"/>
      <c r="I62" s="7" t="inlineStr"/>
      <c r="J62" s="7" t="inlineStr"/>
      <c r="K62" s="7" t="inlineStr">
        <is>
          <t>Not started</t>
        </is>
      </c>
    </row>
    <row r="63">
      <c r="A63" s="7" t="inlineStr"/>
      <c r="B63" s="7" t="inlineStr">
        <is>
          <t>P6.7</t>
        </is>
      </c>
      <c r="C63" s="7" t="inlineStr">
        <is>
          <t>Privacy</t>
        </is>
      </c>
      <c r="D63" s="7">
        <f>'Control Matrix'!F63</f>
        <v/>
      </c>
      <c r="E63" s="7" t="inlineStr">
        <is>
          <t>Maintain a complete personal information disclosure log.</t>
        </is>
      </c>
      <c r="F63" s="7" t="inlineStr"/>
      <c r="G63" s="7" t="inlineStr"/>
      <c r="H63" s="7" t="inlineStr"/>
      <c r="I63" s="7" t="inlineStr"/>
      <c r="J63" s="7" t="inlineStr"/>
      <c r="K63" s="7" t="inlineStr">
        <is>
          <t>Not started</t>
        </is>
      </c>
    </row>
    <row r="64">
      <c r="A64" s="7" t="inlineStr"/>
      <c r="B64" s="7" t="inlineStr">
        <is>
          <t>P7.1</t>
        </is>
      </c>
      <c r="C64" s="7" t="inlineStr">
        <is>
          <t>Privacy</t>
        </is>
      </c>
      <c r="D64" s="7">
        <f>'Control Matrix'!F64</f>
        <v/>
      </c>
      <c r="E64" s="7" t="inlineStr">
        <is>
          <t>Implement personal information quality controls.</t>
        </is>
      </c>
      <c r="F64" s="7" t="inlineStr"/>
      <c r="G64" s="7" t="inlineStr"/>
      <c r="H64" s="7" t="inlineStr"/>
      <c r="I64" s="7" t="inlineStr"/>
      <c r="J64" s="7" t="inlineStr"/>
      <c r="K64" s="7" t="inlineStr">
        <is>
          <t>Not started</t>
        </is>
      </c>
    </row>
    <row r="65">
      <c r="A65" s="7" t="inlineStr"/>
      <c r="B65" s="7" t="inlineStr">
        <is>
          <t>P8.1</t>
        </is>
      </c>
      <c r="C65" s="7" t="inlineStr">
        <is>
          <t>Privacy</t>
        </is>
      </c>
      <c r="D65" s="7">
        <f>'Control Matrix'!F65</f>
        <v/>
      </c>
      <c r="E65" s="7" t="inlineStr">
        <is>
          <t>Implement privacy inquiry and complaint handling.</t>
        </is>
      </c>
      <c r="F65" s="7" t="inlineStr"/>
      <c r="G65" s="7" t="inlineStr"/>
      <c r="H65" s="7" t="inlineStr"/>
      <c r="I65" s="7" t="inlineStr"/>
      <c r="J65" s="7" t="inlineStr"/>
      <c r="K65" s="7" t="inlineStr">
        <is>
          <t>Not started</t>
        </is>
      </c>
    </row>
  </sheetData>
  <autoFilter ref="A4:K65"/>
  <mergeCells count="2">
    <mergeCell ref="A2:H2"/>
    <mergeCell ref="A1:H1"/>
  </mergeCells>
  <dataValidations count="1">
    <dataValidation sqref="K5:K65" showDropDown="0" showInputMessage="0" showErrorMessage="0" allowBlank="0" type="list">
      <formula1>"Not started,In progress,Blocked,Ready for review,Complete"</formula1>
    </dataValidation>
  </dataValidations>
  <pageMargins left="0.75" right="0.75" top="1" bottom="1" header="0.5" footer="0.5"/>
  <pageSetup fitToHeight="0" fitToWidth="1"/>
  <headerFooter>
    <oddHeader/>
    <oddFooter>&amp;CCPF Coaching | SOC 2 Type II readiness | Planning use only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6" customWidth="1" min="5" max="5"/>
    <col width="22" customWidth="1" min="6" max="6"/>
    <col width="24" customWidth="1" min="7" max="7"/>
    <col width="38" customWidth="1" min="8" max="8"/>
    <col width="20" customWidth="1" min="9" max="9"/>
    <col width="20" customWidth="1" min="10" max="10"/>
    <col width="16" customWidth="1" min="11" max="11"/>
    <col width="16" customWidth="1" min="12" max="12"/>
    <col width="14" customWidth="1" min="13" max="13"/>
    <col width="38" customWidth="1" min="14" max="14"/>
  </cols>
  <sheetData>
    <row r="1" ht="30" customHeight="1">
      <c r="A1" s="1" t="inlineStr">
        <is>
          <t>Evidence Index</t>
        </is>
      </c>
    </row>
    <row r="2" ht="30" customHeight="1">
      <c r="A2" s="2" t="inlineStr">
        <is>
          <t>One row per evidence item or control occurrence. Do not replace failed samples.</t>
        </is>
      </c>
    </row>
    <row r="4">
      <c r="A4" s="6" t="inlineStr">
        <is>
          <t>Evidence ID</t>
        </is>
      </c>
      <c r="B4" s="6" t="inlineStr">
        <is>
          <t>Control ID</t>
        </is>
      </c>
      <c r="C4" s="6" t="inlineStr">
        <is>
          <t>Period start</t>
        </is>
      </c>
      <c r="D4" s="6" t="inlineStr">
        <is>
          <t>Period end</t>
        </is>
      </c>
      <c r="E4" s="6" t="inlineStr">
        <is>
          <t>Occurrence date</t>
        </is>
      </c>
      <c r="F4" s="6" t="inlineStr">
        <is>
          <t>Source system</t>
        </is>
      </c>
      <c r="G4" s="6" t="inlineStr">
        <is>
          <t>Population reference</t>
        </is>
      </c>
      <c r="H4" s="6" t="inlineStr">
        <is>
          <t>File or link</t>
        </is>
      </c>
      <c r="I4" s="6" t="inlineStr">
        <is>
          <t>Operator</t>
        </is>
      </c>
      <c r="J4" s="6" t="inlineStr">
        <is>
          <t>Reviewer</t>
        </is>
      </c>
      <c r="K4" s="6" t="inlineStr">
        <is>
          <t>Review date</t>
        </is>
      </c>
      <c r="L4" s="6" t="inlineStr">
        <is>
          <t>Result</t>
        </is>
      </c>
      <c r="M4" s="6" t="inlineStr">
        <is>
          <t>Exception ID</t>
        </is>
      </c>
      <c r="N4" s="6" t="inlineStr">
        <is>
          <t>Notes</t>
        </is>
      </c>
    </row>
    <row r="5">
      <c r="A5" s="7" t="inlineStr"/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</row>
    <row r="6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</row>
    <row r="12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</row>
    <row r="20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</row>
    <row r="22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</row>
    <row r="23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</row>
    <row r="24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</row>
    <row r="25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</row>
    <row r="26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</row>
    <row r="27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</row>
    <row r="28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</row>
    <row r="29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</row>
    <row r="30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</row>
    <row r="3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</row>
    <row r="32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</row>
    <row r="33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</row>
    <row r="34">
      <c r="A34" s="7" t="inlineStr"/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</row>
    <row r="35">
      <c r="A35" s="7" t="inlineStr"/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</row>
    <row r="36">
      <c r="A36" s="7" t="inlineStr"/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</row>
    <row r="37">
      <c r="A37" s="7" t="inlineStr"/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</row>
    <row r="38">
      <c r="A38" s="7" t="inlineStr"/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</row>
    <row r="39">
      <c r="A39" s="7" t="inlineStr"/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</row>
    <row r="40">
      <c r="A40" s="7" t="inlineStr"/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</row>
    <row r="41">
      <c r="A41" s="7" t="inlineStr"/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</row>
    <row r="42">
      <c r="A42" s="7" t="inlineStr"/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</row>
    <row r="43">
      <c r="A43" s="7" t="inlineStr"/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</row>
    <row r="44">
      <c r="A44" s="7" t="inlineStr"/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</row>
    <row r="45">
      <c r="A45" s="7" t="inlineStr"/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</row>
    <row r="46">
      <c r="A46" s="7" t="inlineStr"/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</row>
    <row r="47">
      <c r="A47" s="7" t="inlineStr"/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</row>
    <row r="48">
      <c r="A48" s="7" t="inlineStr"/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</row>
    <row r="49">
      <c r="A49" s="7" t="inlineStr"/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</row>
    <row r="50">
      <c r="A50" s="7" t="inlineStr"/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</row>
    <row r="51">
      <c r="A51" s="7" t="inlineStr"/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</row>
    <row r="52">
      <c r="A52" s="7" t="inlineStr"/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</row>
    <row r="53">
      <c r="A53" s="7" t="inlineStr"/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</row>
    <row r="54">
      <c r="A54" s="7" t="inlineStr"/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</row>
    <row r="55">
      <c r="A55" s="7" t="inlineStr"/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</row>
    <row r="56">
      <c r="A56" s="7" t="inlineStr"/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</row>
    <row r="57">
      <c r="A57" s="7" t="inlineStr"/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</row>
    <row r="58">
      <c r="A58" s="7" t="inlineStr"/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</row>
    <row r="59">
      <c r="A59" s="7" t="inlineStr"/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</row>
    <row r="60">
      <c r="A60" s="7" t="inlineStr"/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</row>
    <row r="61">
      <c r="A61" s="7" t="inlineStr"/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</row>
    <row r="62">
      <c r="A62" s="7" t="inlineStr"/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</row>
    <row r="63">
      <c r="A63" s="7" t="inlineStr"/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</row>
    <row r="64">
      <c r="A64" s="7" t="inlineStr"/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</row>
    <row r="65">
      <c r="A65" s="7" t="inlineStr"/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</row>
    <row r="66">
      <c r="A66" s="7" t="inlineStr"/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</row>
    <row r="67">
      <c r="A67" s="7" t="inlineStr"/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</row>
    <row r="68">
      <c r="A68" s="7" t="inlineStr"/>
      <c r="B68" s="7" t="inlineStr"/>
      <c r="C68" s="7" t="inlineStr"/>
      <c r="D68" s="7" t="inlineStr"/>
      <c r="E68" s="7" t="inlineStr"/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</row>
    <row r="69">
      <c r="A69" s="7" t="inlineStr"/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</row>
    <row r="70">
      <c r="A70" s="7" t="inlineStr"/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</row>
    <row r="71">
      <c r="A71" s="7" t="inlineStr"/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</row>
    <row r="72">
      <c r="A72" s="7" t="inlineStr"/>
      <c r="B72" s="7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</row>
    <row r="73">
      <c r="A73" s="7" t="inlineStr"/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</row>
    <row r="74">
      <c r="A74" s="7" t="inlineStr"/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</row>
    <row r="75">
      <c r="A75" s="7" t="inlineStr"/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</row>
    <row r="76">
      <c r="A76" s="7" t="inlineStr"/>
      <c r="B76" s="7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</row>
    <row r="77">
      <c r="A77" s="7" t="inlineStr"/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</row>
    <row r="78">
      <c r="A78" s="7" t="inlineStr"/>
      <c r="B78" s="7" t="inlineStr"/>
      <c r="C78" s="7" t="inlineStr"/>
      <c r="D78" s="7" t="inlineStr"/>
      <c r="E78" s="7" t="inlineStr"/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</row>
    <row r="79">
      <c r="A79" s="7" t="inlineStr"/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</row>
    <row r="80">
      <c r="A80" s="7" t="inlineStr"/>
      <c r="B80" s="7" t="inlineStr"/>
      <c r="C80" s="7" t="inlineStr"/>
      <c r="D80" s="7" t="inlineStr"/>
      <c r="E80" s="7" t="inlineStr"/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</row>
    <row r="81">
      <c r="A81" s="7" t="inlineStr"/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</row>
    <row r="82">
      <c r="A82" s="7" t="inlineStr"/>
      <c r="B82" s="7" t="inlineStr"/>
      <c r="C82" s="7" t="inlineStr"/>
      <c r="D82" s="7" t="inlineStr"/>
      <c r="E82" s="7" t="inlineStr"/>
      <c r="F82" s="7" t="inlineStr"/>
      <c r="G82" s="7" t="inlineStr"/>
      <c r="H82" s="7" t="inlineStr"/>
      <c r="I82" s="7" t="inlineStr"/>
      <c r="J82" s="7" t="inlineStr"/>
      <c r="K82" s="7" t="inlineStr"/>
      <c r="L82" s="7" t="inlineStr"/>
      <c r="M82" s="7" t="inlineStr"/>
      <c r="N82" s="7" t="inlineStr"/>
    </row>
    <row r="83">
      <c r="A83" s="7" t="inlineStr"/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</row>
    <row r="84">
      <c r="A84" s="7" t="inlineStr"/>
      <c r="B84" s="7" t="inlineStr"/>
      <c r="C84" s="7" t="inlineStr"/>
      <c r="D84" s="7" t="inlineStr"/>
      <c r="E84" s="7" t="inlineStr"/>
      <c r="F84" s="7" t="inlineStr"/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7" t="inlineStr"/>
    </row>
    <row r="85">
      <c r="A85" s="7" t="inlineStr"/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</row>
    <row r="86">
      <c r="A86" s="7" t="inlineStr"/>
      <c r="B86" s="7" t="inlineStr"/>
      <c r="C86" s="7" t="inlineStr"/>
      <c r="D86" s="7" t="inlineStr"/>
      <c r="E86" s="7" t="inlineStr"/>
      <c r="F86" s="7" t="inlineStr"/>
      <c r="G86" s="7" t="inlineStr"/>
      <c r="H86" s="7" t="inlineStr"/>
      <c r="I86" s="7" t="inlineStr"/>
      <c r="J86" s="7" t="inlineStr"/>
      <c r="K86" s="7" t="inlineStr"/>
      <c r="L86" s="7" t="inlineStr"/>
      <c r="M86" s="7" t="inlineStr"/>
      <c r="N86" s="7" t="inlineStr"/>
    </row>
    <row r="87">
      <c r="A87" s="7" t="inlineStr"/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</row>
    <row r="88">
      <c r="A88" s="7" t="inlineStr"/>
      <c r="B88" s="7" t="inlineStr"/>
      <c r="C88" s="7" t="inlineStr"/>
      <c r="D88" s="7" t="inlineStr"/>
      <c r="E88" s="7" t="inlineStr"/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7" t="inlineStr"/>
    </row>
    <row r="89">
      <c r="A89" s="7" t="inlineStr"/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</row>
    <row r="90">
      <c r="A90" s="7" t="inlineStr"/>
      <c r="B90" s="7" t="inlineStr"/>
      <c r="C90" s="7" t="inlineStr"/>
      <c r="D90" s="7" t="inlineStr"/>
      <c r="E90" s="7" t="inlineStr"/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</row>
    <row r="91">
      <c r="A91" s="7" t="inlineStr"/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</row>
    <row r="92">
      <c r="A92" s="7" t="inlineStr"/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  <c r="J92" s="7" t="inlineStr"/>
      <c r="K92" s="7" t="inlineStr"/>
      <c r="L92" s="7" t="inlineStr"/>
      <c r="M92" s="7" t="inlineStr"/>
      <c r="N92" s="7" t="inlineStr"/>
    </row>
    <row r="93">
      <c r="A93" s="7" t="inlineStr"/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</row>
    <row r="94">
      <c r="A94" s="7" t="inlineStr"/>
      <c r="B94" s="7" t="inlineStr"/>
      <c r="C94" s="7" t="inlineStr"/>
      <c r="D94" s="7" t="inlineStr"/>
      <c r="E94" s="7" t="inlineStr"/>
      <c r="F94" s="7" t="inlineStr"/>
      <c r="G94" s="7" t="inlineStr"/>
      <c r="H94" s="7" t="inlineStr"/>
      <c r="I94" s="7" t="inlineStr"/>
      <c r="J94" s="7" t="inlineStr"/>
      <c r="K94" s="7" t="inlineStr"/>
      <c r="L94" s="7" t="inlineStr"/>
      <c r="M94" s="7" t="inlineStr"/>
      <c r="N94" s="7" t="inlineStr"/>
    </row>
    <row r="95">
      <c r="A95" s="7" t="inlineStr"/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7" t="inlineStr"/>
    </row>
    <row r="96">
      <c r="A96" s="7" t="inlineStr"/>
      <c r="B96" s="7" t="inlineStr"/>
      <c r="C96" s="7" t="inlineStr"/>
      <c r="D96" s="7" t="inlineStr"/>
      <c r="E96" s="7" t="inlineStr"/>
      <c r="F96" s="7" t="inlineStr"/>
      <c r="G96" s="7" t="inlineStr"/>
      <c r="H96" s="7" t="inlineStr"/>
      <c r="I96" s="7" t="inlineStr"/>
      <c r="J96" s="7" t="inlineStr"/>
      <c r="K96" s="7" t="inlineStr"/>
      <c r="L96" s="7" t="inlineStr"/>
      <c r="M96" s="7" t="inlineStr"/>
      <c r="N96" s="7" t="inlineStr"/>
    </row>
    <row r="97">
      <c r="A97" s="7" t="inlineStr"/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</row>
    <row r="98">
      <c r="A98" s="7" t="inlineStr"/>
      <c r="B98" s="7" t="inlineStr"/>
      <c r="C98" s="7" t="inlineStr"/>
      <c r="D98" s="7" t="inlineStr"/>
      <c r="E98" s="7" t="inlineStr"/>
      <c r="F98" s="7" t="inlineStr"/>
      <c r="G98" s="7" t="inlineStr"/>
      <c r="H98" s="7" t="inlineStr"/>
      <c r="I98" s="7" t="inlineStr"/>
      <c r="J98" s="7" t="inlineStr"/>
      <c r="K98" s="7" t="inlineStr"/>
      <c r="L98" s="7" t="inlineStr"/>
      <c r="M98" s="7" t="inlineStr"/>
      <c r="N98" s="7" t="inlineStr"/>
    </row>
    <row r="99">
      <c r="A99" s="7" t="inlineStr"/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</row>
    <row r="100">
      <c r="A100" s="7" t="inlineStr"/>
      <c r="B100" s="7" t="inlineStr"/>
      <c r="C100" s="7" t="inlineStr"/>
      <c r="D100" s="7" t="inlineStr"/>
      <c r="E100" s="7" t="inlineStr"/>
      <c r="F100" s="7" t="inlineStr"/>
      <c r="G100" s="7" t="inlineStr"/>
      <c r="H100" s="7" t="inlineStr"/>
      <c r="I100" s="7" t="inlineStr"/>
      <c r="J100" s="7" t="inlineStr"/>
      <c r="K100" s="7" t="inlineStr"/>
      <c r="L100" s="7" t="inlineStr"/>
      <c r="M100" s="7" t="inlineStr"/>
      <c r="N100" s="7" t="inlineStr"/>
    </row>
    <row r="101">
      <c r="A101" s="7" t="inlineStr"/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</row>
    <row r="102">
      <c r="A102" s="7" t="inlineStr"/>
      <c r="B102" s="7" t="inlineStr"/>
      <c r="C102" s="7" t="inlineStr"/>
      <c r="D102" s="7" t="inlineStr"/>
      <c r="E102" s="7" t="inlineStr"/>
      <c r="F102" s="7" t="inlineStr"/>
      <c r="G102" s="7" t="inlineStr"/>
      <c r="H102" s="7" t="inlineStr"/>
      <c r="I102" s="7" t="inlineStr"/>
      <c r="J102" s="7" t="inlineStr"/>
      <c r="K102" s="7" t="inlineStr"/>
      <c r="L102" s="7" t="inlineStr"/>
      <c r="M102" s="7" t="inlineStr"/>
      <c r="N102" s="7" t="inlineStr"/>
    </row>
    <row r="103">
      <c r="A103" s="7" t="inlineStr"/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</row>
    <row r="104">
      <c r="A104" s="7" t="inlineStr"/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</row>
  </sheetData>
  <autoFilter ref="A4:N104"/>
  <mergeCells count="2">
    <mergeCell ref="A2:H2"/>
    <mergeCell ref="A1:H1"/>
  </mergeCells>
  <dataValidations count="1">
    <dataValidation sqref="L5:L104" showDropDown="0" showInputMessage="0" showErrorMessage="0" allowBlank="0" type="list">
      <formula1>"Pass,Exception,Not reviewed"</formula1>
    </dataValidation>
  </dataValidations>
  <pageMargins left="0.75" right="0.75" top="1" bottom="1" header="0.5" footer="0.5"/>
  <pageSetup fitToHeight="0" fitToWidth="1"/>
  <headerFooter>
    <oddHeader/>
    <oddFooter>&amp;CCPF Coaching | SOC 2 Type II readiness | Planning use only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7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38" customWidth="1" min="4" max="4"/>
    <col width="28" customWidth="1" min="5" max="5"/>
    <col width="28" customWidth="1" min="6" max="6"/>
    <col width="20" customWidth="1" min="7" max="7"/>
    <col width="24" customWidth="1" min="8" max="8"/>
    <col width="35" customWidth="1" min="9" max="9"/>
    <col width="16" customWidth="1" min="10" max="10"/>
    <col width="35" customWidth="1" min="11" max="11"/>
    <col width="16" customWidth="1" min="12" max="12"/>
    <col width="25" customWidth="1" min="13" max="13"/>
    <col width="18" customWidth="1" min="14" max="14"/>
  </cols>
  <sheetData>
    <row r="1" ht="30" customHeight="1">
      <c r="A1" s="1" t="inlineStr">
        <is>
          <t>Exception Log</t>
        </is>
      </c>
    </row>
    <row r="2" ht="30" customHeight="1">
      <c r="A2" s="2" t="inlineStr">
        <is>
          <t>Preserve every missed occurrence and failed readiness sample through disposition.</t>
        </is>
      </c>
    </row>
    <row r="4">
      <c r="A4" s="6" t="inlineStr">
        <is>
          <t>Exception ID</t>
        </is>
      </c>
      <c r="B4" s="6" t="inlineStr">
        <is>
          <t>Control ID</t>
        </is>
      </c>
      <c r="C4" s="6" t="inlineStr">
        <is>
          <t>Detected date</t>
        </is>
      </c>
      <c r="D4" s="6" t="inlineStr">
        <is>
          <t>Description</t>
        </is>
      </c>
      <c r="E4" s="6" t="inlineStr">
        <is>
          <t>Impact</t>
        </is>
      </c>
      <c r="F4" s="6" t="inlineStr">
        <is>
          <t>Root cause</t>
        </is>
      </c>
      <c r="G4" s="6" t="inlineStr">
        <is>
          <t>Owner</t>
        </is>
      </c>
      <c r="H4" s="6" t="inlineStr">
        <is>
          <t>Decision</t>
        </is>
      </c>
      <c r="I4" s="6" t="inlineStr">
        <is>
          <t>Remediation</t>
        </is>
      </c>
      <c r="J4" s="6" t="inlineStr">
        <is>
          <t>Due date</t>
        </is>
      </c>
      <c r="K4" s="6" t="inlineStr">
        <is>
          <t>Closure evidence</t>
        </is>
      </c>
      <c r="L4" s="6" t="inlineStr">
        <is>
          <t>Closed date</t>
        </is>
      </c>
      <c r="M4" s="6" t="inlineStr">
        <is>
          <t>Residual risk approval</t>
        </is>
      </c>
      <c r="N4" s="6" t="inlineStr">
        <is>
          <t>Status</t>
        </is>
      </c>
    </row>
    <row r="5">
      <c r="A5" s="7" t="inlineStr"/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</row>
    <row r="6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</row>
    <row r="12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</row>
    <row r="20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</row>
    <row r="22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</row>
    <row r="23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</row>
    <row r="24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</row>
    <row r="25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</row>
    <row r="26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</row>
    <row r="27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</row>
    <row r="28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</row>
    <row r="29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</row>
    <row r="30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</row>
    <row r="3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</row>
    <row r="32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</row>
    <row r="33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</row>
    <row r="34">
      <c r="A34" s="7" t="inlineStr"/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</row>
    <row r="35">
      <c r="A35" s="7" t="inlineStr"/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</row>
    <row r="36">
      <c r="A36" s="7" t="inlineStr"/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</row>
    <row r="37">
      <c r="A37" s="7" t="inlineStr"/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</row>
    <row r="38">
      <c r="A38" s="7" t="inlineStr"/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</row>
    <row r="39">
      <c r="A39" s="7" t="inlineStr"/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</row>
    <row r="40">
      <c r="A40" s="7" t="inlineStr"/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</row>
    <row r="41">
      <c r="A41" s="7" t="inlineStr"/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</row>
    <row r="42">
      <c r="A42" s="7" t="inlineStr"/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</row>
    <row r="43">
      <c r="A43" s="7" t="inlineStr"/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</row>
    <row r="44">
      <c r="A44" s="7" t="inlineStr"/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</row>
    <row r="45">
      <c r="A45" s="7" t="inlineStr"/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</row>
    <row r="46">
      <c r="A46" s="7" t="inlineStr"/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</row>
    <row r="47">
      <c r="A47" s="7" t="inlineStr"/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</row>
    <row r="48">
      <c r="A48" s="7" t="inlineStr"/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</row>
    <row r="49">
      <c r="A49" s="7" t="inlineStr"/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</row>
    <row r="50">
      <c r="A50" s="7" t="inlineStr"/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</row>
    <row r="51">
      <c r="A51" s="7" t="inlineStr"/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</row>
    <row r="52">
      <c r="A52" s="7" t="inlineStr"/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</row>
    <row r="53">
      <c r="A53" s="7" t="inlineStr"/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</row>
    <row r="54">
      <c r="A54" s="7" t="inlineStr"/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</row>
    <row r="55">
      <c r="A55" s="7" t="inlineStr"/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</row>
    <row r="56">
      <c r="A56" s="7" t="inlineStr"/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</row>
    <row r="57">
      <c r="A57" s="7" t="inlineStr"/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</row>
    <row r="58">
      <c r="A58" s="7" t="inlineStr"/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</row>
    <row r="59">
      <c r="A59" s="7" t="inlineStr"/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</row>
    <row r="60">
      <c r="A60" s="7" t="inlineStr"/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</row>
    <row r="61">
      <c r="A61" s="7" t="inlineStr"/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</row>
    <row r="62">
      <c r="A62" s="7" t="inlineStr"/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</row>
    <row r="63">
      <c r="A63" s="7" t="inlineStr"/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</row>
    <row r="64">
      <c r="A64" s="7" t="inlineStr"/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</row>
    <row r="65">
      <c r="A65" s="7" t="inlineStr"/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</row>
    <row r="66">
      <c r="A66" s="7" t="inlineStr"/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</row>
    <row r="67">
      <c r="A67" s="7" t="inlineStr"/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</row>
    <row r="68">
      <c r="A68" s="7" t="inlineStr"/>
      <c r="B68" s="7" t="inlineStr"/>
      <c r="C68" s="7" t="inlineStr"/>
      <c r="D68" s="7" t="inlineStr"/>
      <c r="E68" s="7" t="inlineStr"/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</row>
    <row r="69">
      <c r="A69" s="7" t="inlineStr"/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</row>
    <row r="70">
      <c r="A70" s="7" t="inlineStr"/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</row>
    <row r="71">
      <c r="A71" s="7" t="inlineStr"/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</row>
    <row r="72">
      <c r="A72" s="7" t="inlineStr"/>
      <c r="B72" s="7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</row>
    <row r="73">
      <c r="A73" s="7" t="inlineStr"/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</row>
    <row r="74">
      <c r="A74" s="7" t="inlineStr"/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</row>
    <row r="75">
      <c r="A75" s="7" t="inlineStr"/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</row>
    <row r="76">
      <c r="A76" s="7" t="inlineStr"/>
      <c r="B76" s="7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</row>
    <row r="77">
      <c r="A77" s="7" t="inlineStr"/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</row>
    <row r="78">
      <c r="A78" s="7" t="inlineStr"/>
      <c r="B78" s="7" t="inlineStr"/>
      <c r="C78" s="7" t="inlineStr"/>
      <c r="D78" s="7" t="inlineStr"/>
      <c r="E78" s="7" t="inlineStr"/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</row>
    <row r="79">
      <c r="A79" s="7" t="inlineStr"/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</row>
  </sheetData>
  <autoFilter ref="A4:N79"/>
  <mergeCells count="2">
    <mergeCell ref="A2:H2"/>
    <mergeCell ref="A1:H1"/>
  </mergeCells>
  <dataValidations count="1">
    <dataValidation sqref="N5:N79" showDropDown="0" showInputMessage="0" showErrorMessage="0" allowBlank="0" type="list">
      <formula1>"Open,Accepted risk,Remediating,Closed"</formula1>
    </dataValidation>
  </dataValidations>
  <pageMargins left="0.75" right="0.75" top="1" bottom="1" header="0.5" footer="0.5"/>
  <pageSetup fitToHeight="0" fitToWidth="1"/>
  <headerFooter>
    <oddHeader/>
    <oddFooter>&amp;CCPF Coaching | SOC 2 Type II readiness | Planning use only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36" customWidth="1" min="8" max="8"/>
    <col width="32" customWidth="1" min="9" max="9"/>
    <col width="18" customWidth="1" min="10" max="10"/>
    <col width="14" customWidth="1" min="11" max="11"/>
    <col width="14" customWidth="1" min="12" max="12"/>
    <col width="18" customWidth="1" min="13" max="13"/>
  </cols>
  <sheetData>
    <row r="1" ht="30" customHeight="1">
      <c r="A1" s="1" t="inlineStr">
        <is>
          <t>Evidence Calendar</t>
        </is>
      </c>
    </row>
    <row r="2" ht="30" customHeight="1">
      <c r="A2" s="2" t="inlineStr">
        <is>
          <t>Plan every recurring control occurrence across the observation period.</t>
        </is>
      </c>
    </row>
    <row r="4">
      <c r="A4" s="6" t="inlineStr">
        <is>
          <t>Control ID</t>
        </is>
      </c>
      <c r="B4" s="6" t="inlineStr">
        <is>
          <t>Control name</t>
        </is>
      </c>
      <c r="C4" s="6" t="inlineStr">
        <is>
          <t>Frequency</t>
        </is>
      </c>
      <c r="D4" s="6" t="inlineStr">
        <is>
          <t>Owner</t>
        </is>
      </c>
      <c r="E4" s="6" t="inlineStr">
        <is>
          <t>Period start</t>
        </is>
      </c>
      <c r="F4" s="6" t="inlineStr">
        <is>
          <t>Period end</t>
        </is>
      </c>
      <c r="G4" s="6" t="inlineStr">
        <is>
          <t>Next due</t>
        </is>
      </c>
      <c r="H4" s="6" t="inlineStr">
        <is>
          <t>Evidence expected</t>
        </is>
      </c>
      <c r="I4" s="6" t="inlineStr">
        <is>
          <t>Evidence location</t>
        </is>
      </c>
      <c r="J4" s="6" t="inlineStr">
        <is>
          <t>Completed date</t>
        </is>
      </c>
      <c r="K4" s="6" t="inlineStr">
        <is>
          <t>Evidence ID</t>
        </is>
      </c>
      <c r="L4" s="6" t="inlineStr">
        <is>
          <t>Exception ID</t>
        </is>
      </c>
      <c r="M4" s="6" t="inlineStr">
        <is>
          <t>Status</t>
        </is>
      </c>
    </row>
    <row r="5">
      <c r="A5" s="7" t="inlineStr">
        <is>
          <t>SCP-01</t>
        </is>
      </c>
      <c r="B5" s="7" t="inlineStr">
        <is>
          <t>Services, infrastructure, locations, data, people, software, and procedures in scope are documented.</t>
        </is>
      </c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>
        <is>
          <t>Not scheduled</t>
        </is>
      </c>
    </row>
    <row r="6">
      <c r="A6" s="7" t="inlineStr">
        <is>
          <t>SCP-02</t>
        </is>
      </c>
      <c r="B6" s="7" t="inlineStr">
        <is>
          <t>Customer commitments and system requirements map to selected categories.</t>
        </is>
      </c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>
        <is>
          <t>Not scheduled</t>
        </is>
      </c>
    </row>
    <row r="7">
      <c r="A7" s="7" t="inlineStr">
        <is>
          <t>SCP-03</t>
        </is>
      </c>
      <c r="B7" s="7" t="inlineStr">
        <is>
          <t>Subservice organizations and carve-out or inclusive treatment are documented.</t>
        </is>
      </c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>
        <is>
          <t>Not scheduled</t>
        </is>
      </c>
    </row>
    <row r="8">
      <c r="A8" s="7" t="inlineStr">
        <is>
          <t>SCP-04</t>
        </is>
      </c>
      <c r="B8" s="7" t="inlineStr">
        <is>
          <t>Management can support an accurate system description for the full period.</t>
        </is>
      </c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>
        <is>
          <t>Not scheduled</t>
        </is>
      </c>
    </row>
    <row r="9">
      <c r="A9" s="7" t="inlineStr">
        <is>
          <t>GOV-01</t>
        </is>
      </c>
      <c r="B9" s="7" t="inlineStr">
        <is>
          <t>Leadership assigns security accountability and reviews control performance.</t>
        </is>
      </c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>
        <is>
          <t>Not scheduled</t>
        </is>
      </c>
    </row>
    <row r="10">
      <c r="A10" s="7" t="inlineStr">
        <is>
          <t>GOV-02</t>
        </is>
      </c>
      <c r="B10" s="7" t="inlineStr">
        <is>
          <t>A current risk assessment links risks to controls and treatment decisions.</t>
        </is>
      </c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>
        <is>
          <t>Not scheduled</t>
        </is>
      </c>
    </row>
    <row r="11">
      <c r="A11" s="7" t="inlineStr">
        <is>
          <t>GOV-03</t>
        </is>
      </c>
      <c r="B11" s="7" t="inlineStr">
        <is>
          <t>Policies are approved, reviewed, communicated, and acknowledged.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>
        <is>
          <t>Not scheduled</t>
        </is>
      </c>
    </row>
    <row r="12">
      <c r="A12" s="7" t="inlineStr">
        <is>
          <t>GOV-04</t>
        </is>
      </c>
      <c r="B12" s="7" t="inlineStr">
        <is>
          <t>Control failures and exceptions are found, tracked, corrected, and reported.</t>
        </is>
      </c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>
        <is>
          <t>Not scheduled</t>
        </is>
      </c>
    </row>
    <row r="13">
      <c r="A13" s="7" t="inlineStr">
        <is>
          <t>ACC-01</t>
        </is>
      </c>
      <c r="B13" s="7" t="inlineStr">
        <is>
          <t>Identity lifecycle procedures cover approval, provisioning, changes, termination, and review.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>
        <is>
          <t>Not scheduled</t>
        </is>
      </c>
    </row>
    <row r="14">
      <c r="A14" s="7" t="inlineStr">
        <is>
          <t>ACC-02</t>
        </is>
      </c>
      <c r="B14" s="7" t="inlineStr">
        <is>
          <t>Multi-factor authentication protects workforce, privileged, cloud, and remote access.</t>
        </is>
      </c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>
        <is>
          <t>Not scheduled</t>
        </is>
      </c>
    </row>
    <row r="15">
      <c r="A15" s="7" t="inlineStr">
        <is>
          <t>ACC-03</t>
        </is>
      </c>
      <c r="B15" s="7" t="inlineStr">
        <is>
          <t>Privileged access is limited, separately controlled, logged, and reviewed.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>
        <is>
          <t>Not scheduled</t>
        </is>
      </c>
    </row>
    <row r="16">
      <c r="A16" s="7" t="inlineStr">
        <is>
          <t>ACC-04</t>
        </is>
      </c>
      <c r="B16" s="7" t="inlineStr">
        <is>
          <t>Access reviews show reviewer decisions and completed removals.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>
        <is>
          <t>Not scheduled</t>
        </is>
      </c>
    </row>
    <row r="17">
      <c r="A17" s="7" t="inlineStr">
        <is>
          <t>CHG-01</t>
        </is>
      </c>
      <c r="B17" s="7" t="inlineStr">
        <is>
          <t>Production changes require requests, review, testing, approval, and deployment evidence.</t>
        </is>
      </c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>
        <is>
          <t>Not scheduled</t>
        </is>
      </c>
    </row>
    <row r="18">
      <c r="A18" s="7" t="inlineStr">
        <is>
          <t>CHG-02</t>
        </is>
      </c>
      <c r="B18" s="7" t="inlineStr">
        <is>
          <t>Development, approval, and production access are separated or compensated.</t>
        </is>
      </c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>
        <is>
          <t>Not scheduled</t>
        </is>
      </c>
    </row>
    <row r="19">
      <c r="A19" s="7" t="inlineStr">
        <is>
          <t>CHG-03</t>
        </is>
      </c>
      <c r="B19" s="7" t="inlineStr">
        <is>
          <t>Security requirements, code review, dependency checks, and secret handling are repeatable.</t>
        </is>
      </c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>
        <is>
          <t>Not scheduled</t>
        </is>
      </c>
    </row>
    <row r="20">
      <c r="A20" s="7" t="inlineStr">
        <is>
          <t>CHG-04</t>
        </is>
      </c>
      <c r="B20" s="7" t="inlineStr">
        <is>
          <t>Emergency changes receive timely retrospective review.</t>
        </is>
      </c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>
        <is>
          <t>Not scheduled</t>
        </is>
      </c>
    </row>
    <row r="21">
      <c r="A21" s="7" t="inlineStr">
        <is>
          <t>OPS-01</t>
        </is>
      </c>
      <c r="B21" s="7" t="inlineStr">
        <is>
          <t>Assets, software, data stores, and owners are inventoried and kept current.</t>
        </is>
      </c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>
        <is>
          <t>Not scheduled</t>
        </is>
      </c>
    </row>
    <row r="22">
      <c r="A22" s="7" t="inlineStr">
        <is>
          <t>OPS-02</t>
        </is>
      </c>
      <c r="B22" s="7" t="inlineStr">
        <is>
          <t>Vulnerabilities are detected, ranked, assigned, remediated, and verified.</t>
        </is>
      </c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>
        <is>
          <t>Not scheduled</t>
        </is>
      </c>
    </row>
    <row r="23">
      <c r="A23" s="7" t="inlineStr">
        <is>
          <t>OPS-03</t>
        </is>
      </c>
      <c r="B23" s="7" t="inlineStr">
        <is>
          <t>Security logs and alerts cover material systems and receive documented response.</t>
        </is>
      </c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>
        <is>
          <t>Not scheduled</t>
        </is>
      </c>
    </row>
    <row r="24">
      <c r="A24" s="7" t="inlineStr">
        <is>
          <t>OPS-04</t>
        </is>
      </c>
      <c r="B24" s="7" t="inlineStr">
        <is>
          <t>Endpoints and workloads use appropriate hardening, protection, and monitoring.</t>
        </is>
      </c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>
        <is>
          <t>Not scheduled</t>
        </is>
      </c>
    </row>
    <row r="25">
      <c r="A25" s="7" t="inlineStr">
        <is>
          <t>IR-01</t>
        </is>
      </c>
      <c r="B25" s="7" t="inlineStr">
        <is>
          <t>A current plan defines incident roles, severity, escalation, communication, and evidence handling.</t>
        </is>
      </c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>
        <is>
          <t>Not scheduled</t>
        </is>
      </c>
    </row>
    <row r="26">
      <c r="A26" s="7" t="inlineStr">
        <is>
          <t>IR-02</t>
        </is>
      </c>
      <c r="B26" s="7" t="inlineStr">
        <is>
          <t>The incident plan is tested, lessons are assigned, and actions are closed.</t>
        </is>
      </c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>
        <is>
          <t>Not scheduled</t>
        </is>
      </c>
    </row>
    <row r="27">
      <c r="A27" s="7" t="inlineStr">
        <is>
          <t>IR-03</t>
        </is>
      </c>
      <c r="B27" s="7" t="inlineStr">
        <is>
          <t>Backups are monitored and restoration is tested for in-scope services and data.</t>
        </is>
      </c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>
        <is>
          <t>Not scheduled</t>
        </is>
      </c>
    </row>
    <row r="28">
      <c r="A28" s="7" t="inlineStr">
        <is>
          <t>IR-04</t>
        </is>
      </c>
      <c r="B28" s="7" t="inlineStr">
        <is>
          <t>Continuity plans match dependencies and recovery objectives.</t>
        </is>
      </c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>
        <is>
          <t>Not scheduled</t>
        </is>
      </c>
    </row>
    <row r="29">
      <c r="A29" s="7" t="inlineStr">
        <is>
          <t>VEN-01</t>
        </is>
      </c>
      <c r="B29" s="7" t="inlineStr">
        <is>
          <t>Material vendors have owners, data access, risk tier, and review dates.</t>
        </is>
      </c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>
        <is>
          <t>Not scheduled</t>
        </is>
      </c>
    </row>
    <row r="30">
      <c r="A30" s="7" t="inlineStr">
        <is>
          <t>VEN-02</t>
        </is>
      </c>
      <c r="B30" s="7" t="inlineStr">
        <is>
          <t>Security due diligence occurs before use and on a risk-based cadence.</t>
        </is>
      </c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>
        <is>
          <t>Not scheduled</t>
        </is>
      </c>
    </row>
    <row r="31">
      <c r="A31" s="7" t="inlineStr">
        <is>
          <t>VEN-03</t>
        </is>
      </c>
      <c r="B31" s="7" t="inlineStr">
        <is>
          <t>Contracts address applicable security, confidentiality, privacy, availability, and incidents.</t>
        </is>
      </c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>
        <is>
          <t>Not scheduled</t>
        </is>
      </c>
    </row>
    <row r="32">
      <c r="A32" s="7" t="inlineStr">
        <is>
          <t>VEN-04</t>
        </is>
      </c>
      <c r="B32" s="7" t="inlineStr">
        <is>
          <t>Material vendor service, security, and control changes are monitored.</t>
        </is>
      </c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>
        <is>
          <t>Not scheduled</t>
        </is>
      </c>
    </row>
    <row r="33">
      <c r="A33" s="7" t="inlineStr">
        <is>
          <t>T2-01</t>
        </is>
      </c>
      <c r="B33" s="7" t="inlineStr">
        <is>
          <t>A matrix maps criteria, risks, owners, frequency, evidence, and systems.</t>
        </is>
      </c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>
        <is>
          <t>Not scheduled</t>
        </is>
      </c>
    </row>
    <row r="34">
      <c r="A34" s="7" t="inlineStr">
        <is>
          <t>T2-02</t>
        </is>
      </c>
      <c r="B34" s="7" t="inlineStr">
        <is>
          <t>Recurring controls operated on schedule across the planned period.</t>
        </is>
      </c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>
        <is>
          <t>Not scheduled</t>
        </is>
      </c>
    </row>
    <row r="35">
      <c r="A35" s="7" t="inlineStr">
        <is>
          <t>T2-03</t>
        </is>
      </c>
      <c r="B35" s="7" t="inlineStr">
        <is>
          <t>Evidence is complete, dated, attributable, and available for representative samples.</t>
        </is>
      </c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>
        <is>
          <t>Not scheduled</t>
        </is>
      </c>
    </row>
    <row r="36">
      <c r="A36" s="7" t="inlineStr">
        <is>
          <t>T2-04</t>
        </is>
      </c>
      <c r="B36" s="7" t="inlineStr">
        <is>
          <t>Complete populations can be produced for sampled controls.</t>
        </is>
      </c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>
        <is>
          <t>Not scheduled</t>
        </is>
      </c>
    </row>
    <row r="37">
      <c r="A37" s="7" t="inlineStr">
        <is>
          <t>T2-05</t>
        </is>
      </c>
      <c r="B37" s="7" t="inlineStr">
        <is>
          <t>Exceptions have impact analysis, approval, remediation, and closure evidence.</t>
        </is>
      </c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>
        <is>
          <t>Not scheduled</t>
        </is>
      </c>
    </row>
    <row r="38">
      <c r="A38" s="7" t="inlineStr">
        <is>
          <t>T2-06</t>
        </is>
      </c>
      <c r="B38" s="7" t="inlineStr">
        <is>
          <t>Management reviews readiness and accepts residual risks before fieldwork.</t>
        </is>
      </c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>
        <is>
          <t>Not scheduled</t>
        </is>
      </c>
    </row>
    <row r="39">
      <c r="A39" s="7" t="inlineStr">
        <is>
          <t>A1.1</t>
        </is>
      </c>
      <c r="B39" s="7" t="inlineStr">
        <is>
          <t>Capacity and performance are monitored against defined availability objectives.</t>
        </is>
      </c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>
        <is>
          <t>Not scheduled</t>
        </is>
      </c>
    </row>
    <row r="40">
      <c r="A40" s="7" t="inlineStr">
        <is>
          <t>A1.2</t>
        </is>
      </c>
      <c r="B40" s="7" t="inlineStr">
        <is>
          <t>Environmental, backup, recovery, and redundancy safeguards support availability commitments.</t>
        </is>
      </c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>
        <is>
          <t>Not scheduled</t>
        </is>
      </c>
    </row>
    <row r="41">
      <c r="A41" s="7" t="inlineStr">
        <is>
          <t>A1.3</t>
        </is>
      </c>
      <c r="B41" s="7" t="inlineStr">
        <is>
          <t>Recovery and continuity procedures are tested and corrected.</t>
        </is>
      </c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>
        <is>
          <t>Not scheduled</t>
        </is>
      </c>
    </row>
    <row r="42">
      <c r="A42" s="7" t="inlineStr">
        <is>
          <t>C1.1</t>
        </is>
      </c>
      <c r="B42" s="7" t="inlineStr">
        <is>
          <t>Confidential information is identified and protected through its approved lifecycle.</t>
        </is>
      </c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>
        <is>
          <t>Not scheduled</t>
        </is>
      </c>
    </row>
    <row r="43">
      <c r="A43" s="7" t="inlineStr">
        <is>
          <t>C1.2</t>
        </is>
      </c>
      <c r="B43" s="7" t="inlineStr">
        <is>
          <t>Confidential information is securely destroyed when retention ends.</t>
        </is>
      </c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>
        <is>
          <t>Not scheduled</t>
        </is>
      </c>
    </row>
    <row r="44">
      <c r="A44" s="7" t="inlineStr">
        <is>
          <t>PI1.1</t>
        </is>
      </c>
      <c r="B44" s="7" t="inlineStr">
        <is>
          <t>Processing objectives and the information needed to meet them are defined.</t>
        </is>
      </c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>
        <is>
          <t>Not scheduled</t>
        </is>
      </c>
    </row>
    <row r="45">
      <c r="A45" s="7" t="inlineStr">
        <is>
          <t>PI1.2</t>
        </is>
      </c>
      <c r="B45" s="7" t="inlineStr">
        <is>
          <t>Processing inputs are complete, accurate, timely, and authorized.</t>
        </is>
      </c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>
        <is>
          <t>Not scheduled</t>
        </is>
      </c>
    </row>
    <row r="46">
      <c r="A46" s="7" t="inlineStr">
        <is>
          <t>PI1.3</t>
        </is>
      </c>
      <c r="B46" s="7" t="inlineStr">
        <is>
          <t>System processing is complete, valid, accurate, timely, and authorized.</t>
        </is>
      </c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>
        <is>
          <t>Not scheduled</t>
        </is>
      </c>
    </row>
    <row r="47">
      <c r="A47" s="7" t="inlineStr">
        <is>
          <t>PI1.4</t>
        </is>
      </c>
      <c r="B47" s="7" t="inlineStr">
        <is>
          <t>Processing outputs are complete, accurate, timely, and restricted to authorized recipients.</t>
        </is>
      </c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>
        <is>
          <t>Not scheduled</t>
        </is>
      </c>
    </row>
    <row r="48">
      <c r="A48" s="7" t="inlineStr">
        <is>
          <t>PI1.5</t>
        </is>
      </c>
      <c r="B48" s="7" t="inlineStr">
        <is>
          <t>Stored processing records remain complete, accurate, timely, and authorized.</t>
        </is>
      </c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>
        <is>
          <t>Not scheduled</t>
        </is>
      </c>
    </row>
    <row r="49">
      <c r="A49" s="7" t="inlineStr">
        <is>
          <t>P1.1</t>
        </is>
      </c>
      <c r="B49" s="7" t="inlineStr">
        <is>
          <t>Privacy practices and commitments are described in a clear, current notice.</t>
        </is>
      </c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>
        <is>
          <t>Not scheduled</t>
        </is>
      </c>
    </row>
    <row r="50">
      <c r="A50" s="7" t="inlineStr">
        <is>
          <t>P2.1</t>
        </is>
      </c>
      <c r="B50" s="7" t="inlineStr">
        <is>
          <t>Individuals receive required choices and consent is recorded.</t>
        </is>
      </c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>
        <is>
          <t>Not scheduled</t>
        </is>
      </c>
    </row>
    <row r="51">
      <c r="A51" s="7" t="inlineStr">
        <is>
          <t>P3.1</t>
        </is>
      </c>
      <c r="B51" s="7" t="inlineStr">
        <is>
          <t>Personal information collection is limited to stated objectives.</t>
        </is>
      </c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>
        <is>
          <t>Not scheduled</t>
        </is>
      </c>
    </row>
    <row r="52">
      <c r="A52" s="7" t="inlineStr">
        <is>
          <t>P3.2</t>
        </is>
      </c>
      <c r="B52" s="7" t="inlineStr">
        <is>
          <t>Explicit consent is obtained when sensitive information requires it.</t>
        </is>
      </c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>
        <is>
          <t>Not scheduled</t>
        </is>
      </c>
    </row>
    <row r="53">
      <c r="A53" s="7" t="inlineStr">
        <is>
          <t>P4.1</t>
        </is>
      </c>
      <c r="B53" s="7" t="inlineStr">
        <is>
          <t>Use of personal information is limited to stated objectives and commitments.</t>
        </is>
      </c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>
        <is>
          <t>Not scheduled</t>
        </is>
      </c>
    </row>
    <row r="54">
      <c r="A54" s="7" t="inlineStr">
        <is>
          <t>P4.2</t>
        </is>
      </c>
      <c r="B54" s="7" t="inlineStr">
        <is>
          <t>Personal information is retained only for approved periods.</t>
        </is>
      </c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>
        <is>
          <t>Not scheduled</t>
        </is>
      </c>
    </row>
    <row r="55">
      <c r="A55" s="7" t="inlineStr">
        <is>
          <t>P4.3</t>
        </is>
      </c>
      <c r="B55" s="7" t="inlineStr">
        <is>
          <t>Personal information is securely destroyed when retention ends.</t>
        </is>
      </c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>
        <is>
          <t>Not scheduled</t>
        </is>
      </c>
    </row>
    <row r="56">
      <c r="A56" s="7" t="inlineStr">
        <is>
          <t>P5.1</t>
        </is>
      </c>
      <c r="B56" s="7" t="inlineStr">
        <is>
          <t>Individuals can access, correct, or amend personal information as required.</t>
        </is>
      </c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>
        <is>
          <t>Not scheduled</t>
        </is>
      </c>
    </row>
    <row r="57">
      <c r="A57" s="7" t="inlineStr">
        <is>
          <t>P6.1</t>
        </is>
      </c>
      <c r="B57" s="7" t="inlineStr">
        <is>
          <t>Disclosures follow consent, commitments, and approved purposes.</t>
        </is>
      </c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>
        <is>
          <t>Not scheduled</t>
        </is>
      </c>
    </row>
    <row r="58">
      <c r="A58" s="7" t="inlineStr">
        <is>
          <t>P6.2</t>
        </is>
      </c>
      <c r="B58" s="7" t="inlineStr">
        <is>
          <t>Third parties receive enforceable privacy and protection requirements.</t>
        </is>
      </c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>
        <is>
          <t>Not scheduled</t>
        </is>
      </c>
    </row>
    <row r="59">
      <c r="A59" s="7" t="inlineStr">
        <is>
          <t>P6.3</t>
        </is>
      </c>
      <c r="B59" s="7" t="inlineStr">
        <is>
          <t>Third parties are assessed before receiving personal information.</t>
        </is>
      </c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>
        <is>
          <t>Not scheduled</t>
        </is>
      </c>
    </row>
    <row r="60">
      <c r="A60" s="7" t="inlineStr">
        <is>
          <t>P6.4</t>
        </is>
      </c>
      <c r="B60" s="7" t="inlineStr">
        <is>
          <t>Third-party privacy commitments are monitored.</t>
        </is>
      </c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>
        <is>
          <t>Not scheduled</t>
        </is>
      </c>
    </row>
    <row r="61">
      <c r="A61" s="7" t="inlineStr">
        <is>
          <t>P6.5</t>
        </is>
      </c>
      <c r="B61" s="7" t="inlineStr">
        <is>
          <t>Unauthorized third-party use is remediated.</t>
        </is>
      </c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>
        <is>
          <t>Not scheduled</t>
        </is>
      </c>
    </row>
    <row r="62">
      <c r="A62" s="7" t="inlineStr">
        <is>
          <t>P6.6</t>
        </is>
      </c>
      <c r="B62" s="7" t="inlineStr">
        <is>
          <t>Affected parties receive required breach and disclosure notifications.</t>
        </is>
      </c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>
        <is>
          <t>Not scheduled</t>
        </is>
      </c>
    </row>
    <row r="63">
      <c r="A63" s="7" t="inlineStr">
        <is>
          <t>P6.7</t>
        </is>
      </c>
      <c r="B63" s="7" t="inlineStr">
        <is>
          <t>Disclosures are recorded so the organization can account for them.</t>
        </is>
      </c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>
        <is>
          <t>Not scheduled</t>
        </is>
      </c>
    </row>
    <row r="64">
      <c r="A64" s="7" t="inlineStr">
        <is>
          <t>P7.1</t>
        </is>
      </c>
      <c r="B64" s="7" t="inlineStr">
        <is>
          <t>Personal information quality is maintained for its intended use.</t>
        </is>
      </c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>
        <is>
          <t>Not scheduled</t>
        </is>
      </c>
    </row>
    <row r="65">
      <c r="A65" s="7" t="inlineStr">
        <is>
          <t>P8.1</t>
        </is>
      </c>
      <c r="B65" s="7" t="inlineStr">
        <is>
          <t>Privacy inquiries, complaints, and disputes are resolved and tracked.</t>
        </is>
      </c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>
        <is>
          <t>Not scheduled</t>
        </is>
      </c>
    </row>
  </sheetData>
  <autoFilter ref="A4:M65"/>
  <mergeCells count="2">
    <mergeCell ref="A2:H2"/>
    <mergeCell ref="A1:H1"/>
  </mergeCells>
  <dataValidations count="1">
    <dataValidation sqref="M5:M65" showDropDown="0" showInputMessage="0" showErrorMessage="0" allowBlank="0" type="list">
      <formula1>"Not scheduled,Scheduled,Complete,Exception"</formula1>
    </dataValidation>
  </dataValidations>
  <pageMargins left="0.75" right="0.75" top="1" bottom="1" header="0.5" footer="0.5"/>
  <pageSetup fitToHeight="0" fitToWidth="1"/>
  <headerFooter>
    <oddHeader/>
    <oddFooter>&amp;CCPF Coaching | SOC 2 Type II readiness | Planning use only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2026-09-17T20:24:39Z</dcterms:created>
  <dcterms:modified xmlns:dcterms="http://purl.org/dc/terms/" xmlns:xsi="http://www.w3.org/2001/XMLSchema-instance" xsi:type="dcterms:W3CDTF">2026-09-17T20:24:39Z</dcterms:modified>
</cp:coreProperties>
</file>